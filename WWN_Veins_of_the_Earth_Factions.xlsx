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sheets/sheet20.xml" ContentType="application/vnd.openxmlformats-officedocument.spreadsheetml.worksheet+xml"/>
  <Override PartName="/xl/tables/table4.xml" ContentType="application/vnd.openxmlformats-officedocument.spreadsheetml.table+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Rules" sheetId="2" state="visible" r:id="rId2"/>
    <sheet name="Actions" sheetId="3" state="visible" r:id="rId3"/>
    <sheet name="Assets" sheetId="4" state="visible" r:id="rId4"/>
    <sheet name="Tags" sheetId="5" state="visible" r:id="rId5"/>
    <sheet name="Goals" sheetId="6" state="visible" r:id="rId6"/>
    <sheet name="Combat Tracker" sheetId="7" state="visible" r:id="rId7"/>
    <sheet name="Roster" sheetId="8" state="visible" r:id="rId8"/>
    <sheet name="Faction - Knotsmen" sheetId="9" state="visible" r:id="rId9"/>
    <sheet name="Faction - Aelf-Adal" sheetId="10" state="visible" r:id="rId10"/>
    <sheet name="Faction - Funginids" sheetId="11" state="visible" r:id="rId11"/>
    <sheet name="Faction - dErO" sheetId="12" state="visible" r:id="rId12"/>
    <sheet name="Faction - Dvargir" sheetId="13" state="visible" r:id="rId13"/>
    <sheet name="Faction - Gnonmen" sheetId="14" state="visible" r:id="rId14"/>
    <sheet name="Faction - Substratals" sheetId="15" state="visible" r:id="rId15"/>
    <sheet name="Faction - Deep Janeen" sheetId="16" state="visible" r:id="rId16"/>
    <sheet name="Faction - Olm" sheetId="17" state="visible" r:id="rId17"/>
    <sheet name="Blank Faction" sheetId="18" state="visible" r:id="rId18"/>
    <sheet name="_Lookups" sheetId="19" state="visible" r:id="rId19"/>
    <sheet name="Asset Register" sheetId="20" state="visible" r:id="rId20"/>
    <sheet name="Locations Matrix" sheetId="21" state="visible" r:id="rId21"/>
    <sheet name="Action Sheet" sheetId="22" state="visible" r:id="rId22"/>
    <sheet name="Turn Summary" sheetId="23" state="visible" r:id="rId23"/>
  </sheets>
  <definedNames>
    <definedName name="Assets_Knotsmen">_Lookups!$AH$2#</definedName>
    <definedName name="Creatable_Knotsmen">_Lookups!$AR$2#</definedName>
    <definedName name="Assets_Aelf_Adal">_Lookups!$AI$2#</definedName>
    <definedName name="Creatable_Aelf_Adal">_Lookups!$AS$2#</definedName>
    <definedName name="Assets_Funginids">_Lookups!$AJ$2#</definedName>
    <definedName name="Creatable_Funginids">_Lookups!$AT$2#</definedName>
    <definedName name="Assets_dErO">_Lookups!$AK$2#</definedName>
    <definedName name="Creatable_dErO">_Lookups!$AU$2#</definedName>
    <definedName name="Assets_Dvargir">_Lookups!$AL$2#</definedName>
    <definedName name="Creatable_Dvargir">_Lookups!$AV$2#</definedName>
    <definedName name="Assets_Gnonmen">_Lookups!$AM$2#</definedName>
    <definedName name="Creatable_Gnonmen">_Lookups!$AW$2#</definedName>
    <definedName name="Assets_Substratals">_Lookups!$AN$2#</definedName>
    <definedName name="Creatable_Substratals">_Lookups!$AX$2#</definedName>
    <definedName name="Assets_Deep_Janeen">_Lookups!$AO$2#</definedName>
    <definedName name="Creatable_Deep_Janeen">_Lookups!$AY$2#</definedName>
    <definedName name="Assets_Olm">_Lookups!$AP$2#</definedName>
    <definedName name="Creatable_Olm">_Lookups!$AZ$2#</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6"/>
    </font>
    <font>
      <name val="Calibri"/>
      <b val="1"/>
      <color rgb="00FFFFFF"/>
      <sz val="12"/>
    </font>
    <font>
      <name val="Calibri"/>
      <sz val="11"/>
    </font>
    <font>
      <name val="Calibri"/>
      <i val="1"/>
      <color rgb="00555555"/>
      <sz val="11"/>
    </font>
    <font>
      <name val="Calibri"/>
      <b val="1"/>
      <sz val="11"/>
    </font>
    <font>
      <name val="Calibri"/>
      <b val="1"/>
      <color rgb="00FFFFFF"/>
      <sz val="11"/>
    </font>
  </fonts>
  <fills count="7">
    <fill>
      <patternFill/>
    </fill>
    <fill>
      <patternFill patternType="gray125"/>
    </fill>
    <fill>
      <patternFill patternType="solid">
        <fgColor rgb="001F2A44"/>
      </patternFill>
    </fill>
    <fill>
      <patternFill patternType="solid">
        <fgColor rgb="003E5377"/>
      </patternFill>
    </fill>
    <fill>
      <patternFill patternType="solid">
        <fgColor rgb="00F2F2F2"/>
      </patternFill>
    </fill>
    <fill>
      <patternFill patternType="solid">
        <fgColor rgb="00FFFFFF"/>
      </patternFill>
    </fill>
    <fill>
      <patternFill patternType="solid">
        <fgColor rgb="00EAF3FF"/>
      </patternFill>
    </fill>
  </fills>
  <borders count="6">
    <border>
      <left/>
      <right/>
      <top/>
      <bottom/>
      <diagonal/>
    </border>
    <border>
      <left style="thin">
        <color rgb="00888888"/>
      </left>
      <right style="thin">
        <color rgb="00888888"/>
      </right>
      <top style="thin">
        <color rgb="00888888"/>
      </top>
      <bottom style="thin">
        <color rgb="00888888"/>
      </bottom>
    </border>
    <border>
      <left/>
      <right/>
      <top style="thin">
        <color rgb="00888888"/>
      </top>
      <bottom/>
      <diagonal/>
    </border>
    <border>
      <left/>
      <right style="thin">
        <color rgb="00888888"/>
      </right>
      <top style="thin">
        <color rgb="00888888"/>
      </top>
      <bottom/>
      <diagonal/>
    </border>
    <border>
      <left/>
      <right/>
      <top style="thin">
        <color rgb="00888888"/>
      </top>
      <bottom style="thin">
        <color rgb="00888888"/>
      </bottom>
      <diagonal/>
    </border>
    <border>
      <left/>
      <right style="thin">
        <color rgb="00888888"/>
      </right>
      <top style="thin">
        <color rgb="00888888"/>
      </top>
      <bottom style="thin">
        <color rgb="00888888"/>
      </bottom>
      <diagonal/>
    </border>
  </borders>
  <cellStyleXfs count="1">
    <xf numFmtId="0" fontId="0" fillId="0" borderId="0"/>
  </cellStyleXfs>
  <cellXfs count="26">
    <xf numFmtId="0" fontId="0" fillId="0" borderId="0" pivotButton="0" quotePrefix="0" xfId="0"/>
    <xf numFmtId="0" fontId="1" fillId="2" borderId="0" applyAlignment="1" pivotButton="0" quotePrefix="0" xfId="0">
      <alignment horizontal="left" vertical="center"/>
    </xf>
    <xf numFmtId="0" fontId="2" fillId="3" borderId="0" applyAlignment="1" pivotButton="0" quotePrefix="0" xfId="0">
      <alignment horizontal="left" vertical="center"/>
    </xf>
    <xf numFmtId="0" fontId="3" fillId="0" borderId="0" applyAlignment="1" pivotButton="0" quotePrefix="0" xfId="0">
      <alignment vertical="top" wrapText="1"/>
    </xf>
    <xf numFmtId="0" fontId="2" fillId="3" borderId="1" applyAlignment="1" pivotButton="0" quotePrefix="0" xfId="0">
      <alignment horizontal="center" vertical="center" wrapText="1"/>
    </xf>
    <xf numFmtId="0" fontId="3" fillId="4" borderId="1" applyAlignment="1" pivotButton="0" quotePrefix="0" xfId="0">
      <alignment horizontal="left" vertical="top" wrapText="1"/>
    </xf>
    <xf numFmtId="0" fontId="3" fillId="5" borderId="1" applyAlignment="1" pivotButton="0" quotePrefix="0" xfId="0">
      <alignment horizontal="left" vertical="top" wrapText="1"/>
    </xf>
    <xf numFmtId="0" fontId="4" fillId="0" borderId="0" applyAlignment="1" pivotButton="0" quotePrefix="0" xfId="0">
      <alignment vertical="top" wrapText="1"/>
    </xf>
    <xf numFmtId="0" fontId="5" fillId="4" borderId="1" applyAlignment="1" pivotButton="0" quotePrefix="0" xfId="0">
      <alignment horizontal="left" vertical="top" wrapText="1"/>
    </xf>
    <xf numFmtId="0" fontId="0" fillId="0" borderId="4" pivotButton="0" quotePrefix="0" xfId="0"/>
    <xf numFmtId="0" fontId="0" fillId="0" borderId="5" pivotButton="0" quotePrefix="0" xfId="0"/>
    <xf numFmtId="0" fontId="5" fillId="0" borderId="0" pivotButton="0" quotePrefix="0" xfId="0"/>
    <xf numFmtId="0" fontId="3" fillId="0" borderId="0" pivotButton="0" quotePrefix="0" xfId="0"/>
    <xf numFmtId="0" fontId="4" fillId="0" borderId="0" applyAlignment="1" pivotButton="0" quotePrefix="0" xfId="0">
      <alignment horizontal="left" vertical="top" wrapText="1"/>
    </xf>
    <xf numFmtId="0" fontId="3" fillId="6" borderId="0" applyAlignment="1" pivotButton="0" quotePrefix="0" xfId="0">
      <alignment vertical="top" wrapText="1"/>
    </xf>
    <xf numFmtId="0" fontId="6" fillId="3" borderId="0" applyAlignment="1" pivotButton="0" quotePrefix="0" xfId="0">
      <alignment horizontal="center" vertical="center" wrapText="1"/>
    </xf>
    <xf numFmtId="0" fontId="6" fillId="3" borderId="1" applyAlignment="1" pivotButton="0" quotePrefix="0" xfId="0">
      <alignment horizontal="center" vertical="center" wrapText="1"/>
    </xf>
    <xf numFmtId="0" fontId="3" fillId="4" borderId="1" applyAlignment="1" pivotButton="0" quotePrefix="0" xfId="0">
      <alignment vertical="top" wrapText="1"/>
    </xf>
    <xf numFmtId="0" fontId="5" fillId="5" borderId="1" applyAlignment="1" pivotButton="0" quotePrefix="0" xfId="0">
      <alignment horizontal="left" vertical="top" wrapText="1"/>
    </xf>
    <xf numFmtId="0" fontId="3" fillId="5" borderId="1" applyAlignment="1" pivotButton="0" quotePrefix="0" xfId="0">
      <alignment vertical="top" wrapText="1"/>
    </xf>
    <xf numFmtId="0" fontId="0" fillId="5" borderId="1" applyAlignment="1" pivotButton="0" quotePrefix="0" xfId="0">
      <alignment horizontal="center" vertical="center" wrapText="1"/>
    </xf>
    <xf numFmtId="0" fontId="5" fillId="5" borderId="1" pivotButton="0" quotePrefix="0" xfId="0"/>
    <xf numFmtId="0" fontId="0" fillId="5" borderId="1" pivotButton="0" quotePrefix="0" xfId="0"/>
    <xf numFmtId="0" fontId="0" fillId="4" borderId="1" applyAlignment="1" pivotButton="0" quotePrefix="0" xfId="0">
      <alignment horizontal="center" vertical="center" wrapText="1"/>
    </xf>
    <xf numFmtId="0" fontId="5" fillId="4" borderId="1" pivotButton="0" quotePrefix="0" xfId="0"/>
    <xf numFmtId="0"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ables/table1.xml><?xml version="1.0" encoding="utf-8"?>
<table xmlns="http://schemas.openxmlformats.org/spreadsheetml/2006/main" id="1" name="Catalog" displayName="Catalog" ref="A1:U78" headerRowCount="1">
  <tableColumns count="21">
    <tableColumn id="1" name="Name"/>
    <tableColumn id="2" name="Category"/>
    <tableColumn id="3" name="Type"/>
    <tableColumn id="4" name="Cost"/>
    <tableColumn id="5" name="MaxHP"/>
    <tableColumn id="6" name="AtkText"/>
    <tableColumn id="7" name="AtkAttr"/>
    <tableColumn id="8" name="DefAttr"/>
    <tableColumn id="9" name="DmgText"/>
    <tableColumn id="10" name="DmgN"/>
    <tableColumn id="11" name="DmgDie"/>
    <tableColumn id="12" name="CtrText"/>
    <tableColumn id="13" name="CtrN"/>
    <tableColumn id="14" name="CtrDie"/>
    <tableColumn id="15" name="MinAttrText"/>
    <tableColumn id="16" name="Req1Attr"/>
    <tableColumn id="17" name="Req1Val"/>
    <tableColumn id="18" name="Req2Attr"/>
    <tableColumn id="19" name="Req2Val"/>
    <tableColumn id="20" name="Traits"/>
    <tableColumn id="21" name="Notes"/>
  </tableColumns>
  <tableStyleInfo name="TableStyleLight15" showRowStripes="1"/>
</table>
</file>

<file path=xl/tables/table2.xml><?xml version="1.0" encoding="utf-8"?>
<table xmlns="http://schemas.openxmlformats.org/spreadsheetml/2006/main" id="2" name="FactionState" displayName="FactionState" ref="W1:AC10" headerRowCount="1">
  <tableColumns count="7">
    <tableColumn id="1" name="Faction"/>
    <tableColumn id="2" name="Force"/>
    <tableColumn id="3" name="Cunning"/>
    <tableColumn id="4" name="Wealth"/>
    <tableColumn id="5" name="Magic"/>
    <tableColumn id="6" name="Treasure"/>
    <tableColumn id="7" name="HQ"/>
  </tableColumns>
  <tableStyleInfo name="TableStyleLight10" showRowStripes="1"/>
</table>
</file>

<file path=xl/tables/table3.xml><?xml version="1.0" encoding="utf-8"?>
<table xmlns="http://schemas.openxmlformats.org/spreadsheetml/2006/main" id="3" name="Locations" displayName="Locations" ref="AE1:AF11" headerRowCount="1">
  <tableColumns count="2">
    <tableColumn id="1" name="Location"/>
    <tableColumn id="2" name="Note"/>
  </tableColumns>
  <tableStyleInfo name="TableStyleLight12" showRowStripes="1"/>
</table>
</file>

<file path=xl/tables/table4.xml><?xml version="1.0" encoding="utf-8"?>
<table xmlns="http://schemas.openxmlformats.org/spreadsheetml/2006/main" id="4" name="Register" displayName="Register" ref="A3:N62" headerRowCount="1">
  <tableColumns count="14">
    <tableColumn id="1" name="ID"/>
    <tableColumn id="2" name="Faction"/>
    <tableColumn id="3" name="Asset"/>
    <tableColumn id="4" name="Type"/>
    <tableColumn id="5" name="Location"/>
    <tableColumn id="6" name="Cost"/>
    <tableColumn id="7" name="MaxHP"/>
    <tableColumn id="8" name="CurHP"/>
    <tableColumn id="9" name="Attack"/>
    <tableColumn id="10" name="Damage"/>
    <tableColumn id="11" name="Counter"/>
    <tableColumn id="12" name="Traits"/>
    <tableColumn id="13" name="Stealthed?"/>
    <tableColumn id="14"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9.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table" Target="/xl/tables/table3.xml" Id="rId3" /></Relationships>
</file>

<file path=xl/worksheets/_rels/sheet20.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tabColor rgb="001F2A44"/>
    <outlinePr summaryBelow="1" summaryRight="1"/>
    <pageSetUpPr/>
  </sheetPr>
  <dimension ref="A1:F24"/>
  <sheetViews>
    <sheetView workbookViewId="0">
      <selection activeCell="A1" sqref="A1"/>
    </sheetView>
  </sheetViews>
  <sheetFormatPr baseColWidth="8" defaultRowHeight="15"/>
  <cols>
    <col width="24" customWidth="1" min="1" max="1"/>
    <col width="80" customWidth="1" min="2" max="2"/>
  </cols>
  <sheetData>
    <row r="1" ht="24" customHeight="1">
      <c r="A1" s="1" t="inlineStr">
        <is>
          <t>Worlds Without Number — Faction System / Veins of the Earth</t>
        </is>
      </c>
    </row>
    <row r="3" ht="19" customHeight="1">
      <c r="A3" s="2" t="inlineStr">
        <is>
          <t>How to use this workbook</t>
        </is>
      </c>
    </row>
    <row r="4" ht="60" customHeight="1">
      <c r="A4" s="3" t="inlineStr">
        <is>
          <t>This workbook implements the Worlds Without Number faction subsystem and pre-loads it with the principal cultures of Patrick Stuart's Veins of the Earth. Mechanics are paraphrased and intended to stand on their own at the table; consult the WWN rulebook (6.0 Factions) for the official text and edge-case rulings.</t>
        </is>
      </c>
    </row>
    <row r="6" ht="19" customHeight="1">
      <c r="A6" s="2" t="inlineStr">
        <is>
          <t>Sheets in this workbook</t>
        </is>
      </c>
    </row>
    <row r="7" ht="28" customHeight="1">
      <c r="A7" s="4" t="inlineStr">
        <is>
          <t>Sheet</t>
        </is>
      </c>
      <c r="B7" s="4" t="inlineStr">
        <is>
          <t>Purpose</t>
        </is>
      </c>
    </row>
    <row r="8">
      <c r="A8" s="5" t="inlineStr">
        <is>
          <t>Rules</t>
        </is>
      </c>
      <c r="B8" s="5" t="inlineStr">
        <is>
          <t>Core faction rules: attributes, HP, treasure, turn order, combat.</t>
        </is>
      </c>
    </row>
    <row r="9">
      <c r="A9" s="6" t="inlineStr">
        <is>
          <t>Actions</t>
        </is>
      </c>
      <c r="B9" s="6" t="inlineStr">
        <is>
          <t>Every Action a faction can take on its turn, with cost and effect.</t>
        </is>
      </c>
    </row>
    <row r="10">
      <c r="A10" s="5" t="inlineStr">
        <is>
          <t>Assets</t>
        </is>
      </c>
      <c r="B10" s="5" t="inlineStr">
        <is>
          <t>Master asset catalogue (Force / Cunning / Wealth / Magic).</t>
        </is>
      </c>
    </row>
    <row r="11">
      <c r="A11" s="6" t="inlineStr">
        <is>
          <t>Tags</t>
        </is>
      </c>
      <c r="B11" s="6" t="inlineStr">
        <is>
          <t>Faction tags and the modifiers they confer.</t>
        </is>
      </c>
    </row>
    <row r="12">
      <c r="A12" s="5" t="inlineStr">
        <is>
          <t>Goals</t>
        </is>
      </c>
      <c r="B12" s="5" t="inlineStr">
        <is>
          <t>Goals factions choose to pursue for FacXP.</t>
        </is>
      </c>
    </row>
    <row r="13">
      <c r="A13" s="6" t="inlineStr">
        <is>
          <t>Combat Tracker</t>
        </is>
      </c>
      <c r="B13" s="6" t="inlineStr">
        <is>
          <t>Fillable one-shot combat resolver.</t>
        </is>
      </c>
    </row>
    <row r="14">
      <c r="A14" s="5" t="inlineStr">
        <is>
          <t>Roster</t>
        </is>
      </c>
      <c r="B14" s="5" t="inlineStr">
        <is>
          <t>Summary line for every Veins-of-the-Earth faction.</t>
        </is>
      </c>
    </row>
    <row r="15">
      <c r="A15" s="6" t="inlineStr">
        <is>
          <t>Faction - &lt;name&gt;</t>
        </is>
      </c>
      <c r="B15" s="6" t="inlineStr">
        <is>
          <t>Per-faction sheet for each of the nine factions.</t>
        </is>
      </c>
    </row>
    <row r="16">
      <c r="A16" s="5" t="inlineStr">
        <is>
          <t>Blank Faction</t>
        </is>
      </c>
      <c r="B16" s="5" t="inlineStr">
        <is>
          <t>Empty per-faction sheet you can copy for new factions.</t>
        </is>
      </c>
    </row>
    <row r="17">
      <c r="A17" s="6" t="inlineStr">
        <is>
          <t>Asset Register</t>
        </is>
      </c>
      <c r="B17" s="6" t="inlineStr">
        <is>
          <t>Source of truth for every asset instance: faction, asset, location, current/max HP, stealthed?. Edit here when assets are created, moved, or destroyed.</t>
        </is>
      </c>
    </row>
    <row r="18">
      <c r="A18" s="5" t="inlineStr">
        <is>
          <t>Locations Matrix</t>
        </is>
      </c>
      <c r="B18" s="5" t="inlineStr">
        <is>
          <t>Pivot view derived from Asset Register: rows = locations, columns = factions, cells list assets present (with current/max HP).</t>
        </is>
      </c>
    </row>
    <row r="19">
      <c r="A19" s="6" t="inlineStr">
        <is>
          <t>Action Sheet</t>
        </is>
      </c>
      <c r="B19" s="6" t="inlineStr">
        <is>
          <t>One row per (turn × faction). Dropdowns for Action / Acting Asset / Asset to Create / Target are filtered to that faction's possibilities.</t>
        </is>
      </c>
    </row>
    <row r="20">
      <c r="A20" s="5" t="inlineStr">
        <is>
          <t>Turn Summary</t>
        </is>
      </c>
      <c r="B20" s="5" t="inlineStr">
        <is>
          <t>Resolved ledger: treasure income, upkeep, spend, end-of-turn balance, auto-rolled combat dice. Press F9 to roll; paste-special as values to lock a turn.</t>
        </is>
      </c>
    </row>
    <row r="21">
      <c r="A21" s="6" t="inlineStr">
        <is>
          <t>_Lookups</t>
        </is>
      </c>
      <c r="B21" s="6" t="inlineStr">
        <is>
          <t>Hidden-friendly helper sheet: structured catalog, faction state, locations table, and the per-faction spill ranges that drive the Action Sheet's filtered dropdowns.</t>
        </is>
      </c>
    </row>
    <row r="23" ht="19" customHeight="1">
      <c r="A23" s="2" t="inlineStr">
        <is>
          <t>Credits</t>
        </is>
      </c>
    </row>
    <row r="24" ht="60" customHeight="1">
      <c r="A24" s="7" t="inlineStr">
        <is>
          <t>Faction rules: Kevin Crawford, Worlds Without Number (Sine Nomine Publishing).  Setting &amp; cultures: Patrick Stuart &amp; Scrap Princess, Veins of the Earth (Lamentations of the Flame Princess).  Faction stat-blocks and tag effects here are interpretive — adjust to taste.</t>
        </is>
      </c>
    </row>
  </sheetData>
  <mergeCells count="6">
    <mergeCell ref="A24:F24"/>
    <mergeCell ref="A1:F1"/>
    <mergeCell ref="A23:F23"/>
    <mergeCell ref="A6:F6"/>
    <mergeCell ref="A4:F4"/>
    <mergeCell ref="A3:F3"/>
  </mergeCells>
  <pageMargins left="0.75" right="0.75" top="1" bottom="1" header="0.5" footer="0.5"/>
</worksheet>
</file>

<file path=xl/worksheets/sheet2.xml><?xml version="1.0" encoding="utf-8"?>
<worksheet xmlns="http://schemas.openxmlformats.org/spreadsheetml/2006/main">
  <sheetPr>
    <tabColor rgb="003E5377"/>
    <outlinePr summaryBelow="1" summaryRight="1"/>
    <pageSetUpPr/>
  </sheetPr>
  <dimension ref="A1:C13"/>
  <sheetViews>
    <sheetView workbookViewId="0">
      <selection activeCell="A1" sqref="A1"/>
    </sheetView>
  </sheetViews>
  <sheetFormatPr baseColWidth="8" defaultRowHeight="15"/>
  <cols>
    <col width="26" customWidth="1" min="1" max="1"/>
    <col width="110" customWidth="1" min="2" max="2"/>
  </cols>
  <sheetData>
    <row r="1" ht="24" customHeight="1">
      <c r="A1" s="1" t="inlineStr">
        <is>
          <t>Faction Rules — quick reference</t>
        </is>
      </c>
    </row>
    <row r="3" ht="28" customHeight="1">
      <c r="A3" s="4" t="inlineStr">
        <is>
          <t>Topic</t>
        </is>
      </c>
      <c r="B3" s="4" t="inlineStr">
        <is>
          <t>Rule</t>
        </is>
      </c>
    </row>
    <row r="4">
      <c r="A4" s="5" t="inlineStr">
        <is>
          <t>Faction Attributes</t>
        </is>
      </c>
      <c r="B4" s="5" t="inlineStr">
        <is>
          <t>Every faction has four attributes: FORCE (military and brute power), CUNNING (subtlety, espionage, intrigue), WEALTH (economic and material strength), and MAGIC (arcane power; 0 for ordinary factions). Each attribute is rated 1–8. Starting NPC factions are usually rated 1–3 in each. A faction may freely own as many assets of a given type as its rating in that attribute; assets beyond that limit cost 1 Treasure each per turn in upkeep.</t>
        </is>
      </c>
    </row>
    <row r="5">
      <c r="A5" s="6" t="inlineStr">
        <is>
          <t>Hit Points</t>
        </is>
      </c>
      <c r="B5" s="6" t="inlineStr">
        <is>
          <t>Faction HP = 4 + Force + Cunning + Wealth + Magic. A faction at 0 HP is broken/destroyed. HP is healed by the Heal Damage action (1 Treasure per 1 HP, max equal to faction's max HP per turn).</t>
        </is>
      </c>
    </row>
    <row r="6">
      <c r="A6" s="5" t="inlineStr">
        <is>
          <t>Treasure Income</t>
        </is>
      </c>
      <c r="B6" s="5" t="inlineStr">
        <is>
          <t>At the start of each turn: gain Treasure = (Wealth / 2) + (Force / 4) + (Cunning / 4), rounded up. Add income from special assets (Farmers, Markets, Tax Collectors, etc.).</t>
        </is>
      </c>
    </row>
    <row r="7">
      <c r="A7" s="6" t="inlineStr">
        <is>
          <t>Faction Experience</t>
        </is>
      </c>
      <c r="B7" s="6" t="inlineStr">
        <is>
          <t>Factions earn XP by completing Goals. Each completed goal grants 1 FacXP (or more for Major Goals). At 8 FacXP the faction levels (Tier increases) and may raise one attribute by 1 (max 8). The GM may award bonus XP for narratively significant achievements.</t>
        </is>
      </c>
    </row>
    <row r="8">
      <c r="A8" s="5" t="inlineStr">
        <is>
          <t>Locations</t>
        </is>
      </c>
      <c r="B8" s="5" t="inlineStr">
        <is>
          <t>Assets exist in a specific Location (region, city, hex, etc.). Asset-vs-asset attacks must be in the same location. The Move Asset action relocates an asset (costs 1 Treasure per location crossed, or per the asset's listed move cost).</t>
        </is>
      </c>
    </row>
    <row r="9">
      <c r="A9" s="6" t="inlineStr">
        <is>
          <t>Turn Order (each Faction Turn)</t>
        </is>
      </c>
      <c r="B9" s="6" t="inlineStr">
        <is>
          <t>1) Collect Treasure income.  2) Pay upkeep for excess assets (1 Treasure each); unpaid assets are destroyed.  3) Trigger any free-action / Special assets.  4) Take ONE Action (see Actions sheet).  5) Check Goal completion and gain FacXP.  6) Roll for any narrative events the GM has prepared.</t>
        </is>
      </c>
    </row>
    <row r="10">
      <c r="A10" s="5" t="inlineStr">
        <is>
          <t>Combat Resolution</t>
        </is>
      </c>
      <c r="B10" s="5" t="inlineStr">
        <is>
          <t>When asset A attacks asset B: each side rolls 1d10 + the attribute listed in the attacker's stat line (e.g. F vs F means attacker rolls 1d10 + Force, defender rolls 1d10 + Force). Highest total wins ties go to the defender. On attacker win, attacker deals listed damage. On defender win, if defender has a Counter value, the defender deals that damage to the attacker. Reduced to 0 HP = destroyed.</t>
        </is>
      </c>
    </row>
    <row r="11">
      <c r="A11" s="6" t="inlineStr">
        <is>
          <t>Stealth &amp; Subtlety</t>
        </is>
      </c>
      <c r="B11" s="6" t="inlineStr">
        <is>
          <t>Stealthed assets are unknown to rivals until they reveal themselves (by attacking, being detected, or being placed openly). Subtle assets perform their action without revealing the owning faction. Detecting hidden assets is a Cunning vs Cunning check.</t>
        </is>
      </c>
    </row>
    <row r="12">
      <c r="A12" s="5" t="inlineStr">
        <is>
          <t>Magic Threshold</t>
        </is>
      </c>
      <c r="B12" s="5" t="inlineStr">
        <is>
          <t>A faction must have Magic 1+ to own Magic assets. A faction at Magic 0 cannot purchase or use magical assets, and Magic-using attacks default against its lowest score.</t>
        </is>
      </c>
    </row>
    <row r="13">
      <c r="A13" s="6" t="inlineStr">
        <is>
          <t>Faction Tags</t>
        </is>
      </c>
      <c r="B13" s="6" t="inlineStr">
        <is>
          <t>Each faction has one or more Tags (see Tags sheet). Tags grant special abilities, discounts, or restrictions and characterise the faction's flavour.</t>
        </is>
      </c>
    </row>
  </sheetData>
  <mergeCells count="1">
    <mergeCell ref="A1:C1"/>
  </mergeCells>
  <pageMargins left="0.75" right="0.75" top="1" bottom="1" header="0.5" footer="0.5"/>
</worksheet>
</file>

<file path=xl/worksheets/sheet3.xml><?xml version="1.0" encoding="utf-8"?>
<worksheet xmlns="http://schemas.openxmlformats.org/spreadsheetml/2006/main">
  <sheetPr>
    <tabColor rgb="003E5377"/>
    <outlinePr summaryBelow="1" summaryRight="1"/>
    <pageSetUpPr/>
  </sheetPr>
  <dimension ref="A1:D14"/>
  <sheetViews>
    <sheetView workbookViewId="0">
      <selection activeCell="A1" sqref="A1"/>
    </sheetView>
  </sheetViews>
  <sheetFormatPr baseColWidth="8" defaultRowHeight="15"/>
  <cols>
    <col width="28" customWidth="1" min="1" max="1"/>
    <col width="38" customWidth="1" min="2" max="2"/>
    <col width="70" customWidth="1" min="3" max="3"/>
    <col width="60" customWidth="1" min="4" max="4"/>
  </cols>
  <sheetData>
    <row r="1" ht="24" customHeight="1">
      <c r="A1" s="1" t="inlineStr">
        <is>
          <t>Faction Actions (1 per turn unless noted)</t>
        </is>
      </c>
    </row>
    <row r="3" ht="28" customHeight="1">
      <c r="A3" s="4" t="inlineStr">
        <is>
          <t>Action</t>
        </is>
      </c>
      <c r="B3" s="4" t="inlineStr">
        <is>
          <t>Cost</t>
        </is>
      </c>
      <c r="C3" s="4" t="inlineStr">
        <is>
          <t>Effect</t>
        </is>
      </c>
      <c r="D3" s="4" t="inlineStr">
        <is>
          <t>Notes</t>
        </is>
      </c>
    </row>
    <row r="4">
      <c r="A4" s="5" t="inlineStr">
        <is>
          <t>Attack</t>
        </is>
      </c>
      <c r="B4" s="5" t="inlineStr">
        <is>
          <t>Free (uses turn)</t>
        </is>
      </c>
      <c r="C4" s="5" t="inlineStr">
        <is>
          <t>Direct one of your assets to attack a rival asset in the same location. Resolve combat (see Rules).</t>
        </is>
      </c>
      <c r="D4" s="5" t="inlineStr">
        <is>
          <t>Both sides may sustain damage. The defender's counter (if any) hits the attacker.</t>
        </is>
      </c>
    </row>
    <row r="5">
      <c r="A5" s="6" t="inlineStr">
        <is>
          <t>Move Asset</t>
        </is>
      </c>
      <c r="B5" s="6" t="inlineStr">
        <is>
          <t>1 Treasure per location crossed (or asset's listed move cost)</t>
        </is>
      </c>
      <c r="C5" s="6" t="inlineStr">
        <is>
          <t>Relocate one asset from its current location to an adjacent or further location.</t>
        </is>
      </c>
      <c r="D5" s="6" t="inlineStr">
        <is>
          <t>Mobile assets ignore movement cost. Stealthed assets stay hidden if a Cunning check succeeds vs the rival's Cunning.</t>
        </is>
      </c>
    </row>
    <row r="6">
      <c r="A6" s="5" t="inlineStr">
        <is>
          <t>Heal Damage / Repair Asset</t>
        </is>
      </c>
      <c r="B6" s="5" t="inlineStr">
        <is>
          <t>1 Treasure per HP restored</t>
        </is>
      </c>
      <c r="C6" s="5" t="inlineStr">
        <is>
          <t>Restore HP either to the faction itself or to a single damaged asset. Maximum healed per turn equals the faction's max HP.</t>
        </is>
      </c>
      <c r="D6" s="5" t="inlineStr">
        <is>
          <t>Cannot exceed the asset's maximum HP.</t>
        </is>
      </c>
    </row>
    <row r="7">
      <c r="A7" s="6" t="inlineStr">
        <is>
          <t>Expand Influence</t>
        </is>
      </c>
      <c r="B7" s="6" t="inlineStr">
        <is>
          <t>Wealth check vs DC set by location; 1 Treasure</t>
        </is>
      </c>
      <c r="C7" s="6" t="inlineStr">
        <is>
          <t>Project influence into a new location, allowing assets to be placed there next turn.</t>
        </is>
      </c>
      <c r="D7" s="6" t="inlineStr">
        <is>
          <t>Contested by any faction with assets already in that location.</t>
        </is>
      </c>
    </row>
    <row r="8">
      <c r="A8" s="5" t="inlineStr">
        <is>
          <t>Refit Asset</t>
        </is>
      </c>
      <c r="B8" s="5" t="inlineStr">
        <is>
          <t>Difference in cost between old and new asset</t>
        </is>
      </c>
      <c r="C8" s="5" t="inlineStr">
        <is>
          <t>Replace one of your existing assets with another asset that shares its base type (Force, Cunning, Wealth or Magic).</t>
        </is>
      </c>
      <c r="D8" s="5" t="inlineStr">
        <is>
          <t>Useful for upgrading without burning a build turn.</t>
        </is>
      </c>
    </row>
    <row r="9">
      <c r="A9" s="6" t="inlineStr">
        <is>
          <t>Create / Buy Asset</t>
        </is>
      </c>
      <c r="B9" s="6" t="inlineStr">
        <is>
          <t>Asset's Cost in Treasure; requires minimum attribute rating</t>
        </is>
      </c>
      <c r="C9" s="6" t="inlineStr">
        <is>
          <t>Build a new asset in a location your faction influences. Cost may be reduced by supporting assets such as Workshops, Armories, or Magic Workshops.</t>
        </is>
      </c>
      <c r="D9" s="6" t="inlineStr">
        <is>
          <t>Assets cannot be built where your faction has no presence.</t>
        </is>
      </c>
    </row>
    <row r="10">
      <c r="A10" s="5" t="inlineStr">
        <is>
          <t>Hide Asset</t>
        </is>
      </c>
      <c r="B10" s="5" t="inlineStr">
        <is>
          <t>Free (uses turn)</t>
        </is>
      </c>
      <c r="C10" s="5" t="inlineStr">
        <is>
          <t>Make a non-Stealthed asset Stealthed via a Cunning vs Cunning check against any rival watching the location.</t>
        </is>
      </c>
      <c r="D10" s="5" t="inlineStr">
        <is>
          <t>Subtle assets are inherently hidden; this is for normal ones.</t>
        </is>
      </c>
    </row>
    <row r="11">
      <c r="A11" s="6" t="inlineStr">
        <is>
          <t>Sell Asset</t>
        </is>
      </c>
      <c r="B11" s="6" t="inlineStr">
        <is>
          <t>—</t>
        </is>
      </c>
      <c r="C11" s="6" t="inlineStr">
        <is>
          <t>Permanently disband an asset and recover half its purchase cost (round down) as Treasure.</t>
        </is>
      </c>
      <c r="D11" s="6" t="inlineStr">
        <is>
          <t>Cannot be done while the asset is engaged in combat.</t>
        </is>
      </c>
    </row>
    <row r="12">
      <c r="A12" s="5" t="inlineStr">
        <is>
          <t>Use Asset Ability</t>
        </is>
      </c>
      <c r="B12" s="5" t="inlineStr">
        <is>
          <t>Per ability description</t>
        </is>
      </c>
      <c r="C12" s="5" t="inlineStr">
        <is>
          <t>Trigger a special ability listed in an asset's stat block (e.g. Spies' Special, Cult Network's conversion).</t>
        </is>
      </c>
      <c r="D12" s="5" t="inlineStr">
        <is>
          <t>Counts as your faction Action for the turn unless the ability says Free Action.</t>
        </is>
      </c>
    </row>
    <row r="13">
      <c r="A13" s="6" t="inlineStr">
        <is>
          <t>Seize Planet / Region</t>
        </is>
      </c>
      <c r="B13" s="6" t="inlineStr">
        <is>
          <t>Major undertaking — usually multiple turns</t>
        </is>
      </c>
      <c r="C13" s="6" t="inlineStr">
        <is>
          <t>Attempt to take political control of a region by reducing the rival's assets there to zero and winning a final Force or Cunning check.</t>
        </is>
      </c>
      <c r="D13" s="6" t="inlineStr">
        <is>
          <t>Listed as a goal target rather than a normal action.</t>
        </is>
      </c>
    </row>
    <row r="14">
      <c r="A14" s="5" t="inlineStr">
        <is>
          <t>Diplomatic Exchange</t>
        </is>
      </c>
      <c r="B14" s="5" t="inlineStr">
        <is>
          <t>Variable — by agreement</t>
        </is>
      </c>
      <c r="C14" s="5" t="inlineStr">
        <is>
          <t>Trade Treasure, intelligence, locations or assets with another faction.</t>
        </is>
      </c>
      <c r="D14" s="5" t="inlineStr">
        <is>
          <t>Cannot transfer assets that require unmet attribute prerequisites.</t>
        </is>
      </c>
    </row>
  </sheetData>
  <mergeCells count="1">
    <mergeCell ref="A1:D1"/>
  </mergeCells>
  <pageMargins left="0.75" right="0.75" top="1" bottom="1" header="0.5" footer="0.5"/>
</worksheet>
</file>

<file path=xl/worksheets/sheet4.xml><?xml version="1.0" encoding="utf-8"?>
<worksheet xmlns="http://schemas.openxmlformats.org/spreadsheetml/2006/main">
  <sheetPr>
    <tabColor rgb="003E5377"/>
    <outlinePr summaryBelow="1" summaryRight="1"/>
    <pageSetUpPr/>
  </sheetPr>
  <dimension ref="A1:J102"/>
  <sheetViews>
    <sheetView workbookViewId="0">
      <selection activeCell="A1" sqref="A1"/>
    </sheetView>
  </sheetViews>
  <sheetFormatPr baseColWidth="8" defaultRowHeight="15"/>
  <cols>
    <col width="28" customWidth="1" min="1" max="1"/>
    <col width="10" customWidth="1" min="2" max="2"/>
    <col width="7" customWidth="1" min="3" max="3"/>
    <col width="7" customWidth="1" min="4" max="4"/>
    <col width="18" customWidth="1" min="5" max="5"/>
    <col width="12" customWidth="1" min="6" max="6"/>
    <col width="12" customWidth="1" min="7" max="7"/>
    <col width="18" customWidth="1" min="8" max="8"/>
    <col width="22" customWidth="1" min="9" max="9"/>
    <col width="60" customWidth="1" min="10" max="10"/>
  </cols>
  <sheetData>
    <row r="1" ht="24" customHeight="1">
      <c r="A1" s="1" t="inlineStr">
        <is>
          <t>Asset Catalogue</t>
        </is>
      </c>
    </row>
    <row r="3" ht="19" customHeight="1">
      <c r="A3" s="2" t="inlineStr">
        <is>
          <t>Force Assets</t>
        </is>
      </c>
    </row>
    <row r="4" ht="28" customHeight="1">
      <c r="A4" s="4" t="inlineStr">
        <is>
          <t>Asset</t>
        </is>
      </c>
      <c r="B4" s="4" t="inlineStr">
        <is>
          <t>Type</t>
        </is>
      </c>
      <c r="C4" s="4" t="inlineStr">
        <is>
          <t>Cost</t>
        </is>
      </c>
      <c r="D4" s="4" t="inlineStr">
        <is>
          <t>HP</t>
        </is>
      </c>
      <c r="E4" s="4" t="inlineStr">
        <is>
          <t>Attack (Atk vs Def)</t>
        </is>
      </c>
      <c r="F4" s="4" t="inlineStr">
        <is>
          <t>Damage</t>
        </is>
      </c>
      <c r="G4" s="4" t="inlineStr">
        <is>
          <t>Counter</t>
        </is>
      </c>
      <c r="H4" s="4" t="inlineStr">
        <is>
          <t>Min Attr</t>
        </is>
      </c>
      <c r="I4" s="4" t="inlineStr">
        <is>
          <t>Traits</t>
        </is>
      </c>
      <c r="J4" s="4" t="inlineStr">
        <is>
          <t>Notes / Special</t>
        </is>
      </c>
    </row>
    <row r="5">
      <c r="A5" s="5" t="inlineStr">
        <is>
          <t>Militia</t>
        </is>
      </c>
      <c r="B5" s="5" t="inlineStr">
        <is>
          <t>Force</t>
        </is>
      </c>
      <c r="C5" s="5" t="n">
        <v>1</v>
      </c>
      <c r="D5" s="5" t="n">
        <v>4</v>
      </c>
      <c r="E5" s="5" t="inlineStr">
        <is>
          <t>F vs F</t>
        </is>
      </c>
      <c r="F5" s="5" t="inlineStr">
        <is>
          <t>1d4</t>
        </is>
      </c>
      <c r="G5" s="5" t="inlineStr">
        <is>
          <t>1d4</t>
        </is>
      </c>
      <c r="H5" s="5" t="inlineStr">
        <is>
          <t>Force 1</t>
        </is>
      </c>
      <c r="I5" s="5" t="inlineStr">
        <is>
          <t>—</t>
        </is>
      </c>
      <c r="J5" s="5" t="inlineStr">
        <is>
          <t>Cheap, locally-raised levies. Easy to recruit, easy to break.</t>
        </is>
      </c>
    </row>
    <row r="6">
      <c r="A6" s="6" t="inlineStr">
        <is>
          <t>Brigands</t>
        </is>
      </c>
      <c r="B6" s="6" t="inlineStr">
        <is>
          <t>Force</t>
        </is>
      </c>
      <c r="C6" s="6" t="n">
        <v>2</v>
      </c>
      <c r="D6" s="6" t="n">
        <v>6</v>
      </c>
      <c r="E6" s="6" t="inlineStr">
        <is>
          <t>F vs F</t>
        </is>
      </c>
      <c r="F6" s="6" t="inlineStr">
        <is>
          <t>1d6</t>
        </is>
      </c>
      <c r="G6" s="6" t="inlineStr">
        <is>
          <t>1d4</t>
        </is>
      </c>
      <c r="H6" s="6" t="inlineStr">
        <is>
          <t>Force 1</t>
        </is>
      </c>
      <c r="I6" s="6" t="inlineStr">
        <is>
          <t>Mobile</t>
        </is>
      </c>
      <c r="J6" s="6" t="inlineStr">
        <is>
          <t>Bandit-style irregulars; lives off the land.</t>
        </is>
      </c>
    </row>
    <row r="7">
      <c r="A7" s="5" t="inlineStr">
        <is>
          <t>Mercenaries</t>
        </is>
      </c>
      <c r="B7" s="5" t="inlineStr">
        <is>
          <t>Force</t>
        </is>
      </c>
      <c r="C7" s="5" t="n">
        <v>4</v>
      </c>
      <c r="D7" s="5" t="n">
        <v>6</v>
      </c>
      <c r="E7" s="5" t="inlineStr">
        <is>
          <t>F vs F</t>
        </is>
      </c>
      <c r="F7" s="5" t="inlineStr">
        <is>
          <t>1d8</t>
        </is>
      </c>
      <c r="G7" s="5" t="inlineStr">
        <is>
          <t>1d6</t>
        </is>
      </c>
      <c r="H7" s="5" t="inlineStr">
        <is>
          <t>Force 2</t>
        </is>
      </c>
      <c r="I7" s="5" t="inlineStr">
        <is>
          <t>—</t>
        </is>
      </c>
      <c r="J7" s="5" t="inlineStr">
        <is>
          <t>Paid blades. Reliable until the gold runs out.</t>
        </is>
      </c>
    </row>
    <row r="8">
      <c r="A8" s="6" t="inlineStr">
        <is>
          <t>Infantry</t>
        </is>
      </c>
      <c r="B8" s="6" t="inlineStr">
        <is>
          <t>Force</t>
        </is>
      </c>
      <c r="C8" s="6" t="n">
        <v>4</v>
      </c>
      <c r="D8" s="6" t="n">
        <v>8</v>
      </c>
      <c r="E8" s="6" t="inlineStr">
        <is>
          <t>F vs F</t>
        </is>
      </c>
      <c r="F8" s="6" t="inlineStr">
        <is>
          <t>1d8</t>
        </is>
      </c>
      <c r="G8" s="6" t="inlineStr">
        <is>
          <t>1d6</t>
        </is>
      </c>
      <c r="H8" s="6" t="inlineStr">
        <is>
          <t>Force 2</t>
        </is>
      </c>
      <c r="I8" s="6" t="inlineStr">
        <is>
          <t>—</t>
        </is>
      </c>
      <c r="J8" s="6" t="inlineStr">
        <is>
          <t>Disciplined foot soldiers; the workhorse of any faction.</t>
        </is>
      </c>
    </row>
    <row r="9">
      <c r="A9" s="5" t="inlineStr">
        <is>
          <t>Light Cavalry</t>
        </is>
      </c>
      <c r="B9" s="5" t="inlineStr">
        <is>
          <t>Force</t>
        </is>
      </c>
      <c r="C9" s="5" t="n">
        <v>5</v>
      </c>
      <c r="D9" s="5" t="n">
        <v>8</v>
      </c>
      <c r="E9" s="5" t="inlineStr">
        <is>
          <t>F vs F</t>
        </is>
      </c>
      <c r="F9" s="5" t="inlineStr">
        <is>
          <t>1d8</t>
        </is>
      </c>
      <c r="G9" s="5" t="inlineStr">
        <is>
          <t>1d6</t>
        </is>
      </c>
      <c r="H9" s="5" t="inlineStr">
        <is>
          <t>Force 3</t>
        </is>
      </c>
      <c r="I9" s="5" t="inlineStr">
        <is>
          <t>Mobile</t>
        </is>
      </c>
      <c r="J9" s="5" t="inlineStr">
        <is>
          <t>Scouts, raiders and skirmishers.</t>
        </is>
      </c>
    </row>
    <row r="10">
      <c r="A10" s="6" t="inlineStr">
        <is>
          <t>Heavy Infantry</t>
        </is>
      </c>
      <c r="B10" s="6" t="inlineStr">
        <is>
          <t>Force</t>
        </is>
      </c>
      <c r="C10" s="6" t="n">
        <v>6</v>
      </c>
      <c r="D10" s="6" t="n">
        <v>10</v>
      </c>
      <c r="E10" s="6" t="inlineStr">
        <is>
          <t>F vs F</t>
        </is>
      </c>
      <c r="F10" s="6" t="inlineStr">
        <is>
          <t>1d10</t>
        </is>
      </c>
      <c r="G10" s="6" t="inlineStr">
        <is>
          <t>1d8</t>
        </is>
      </c>
      <c r="H10" s="6" t="inlineStr">
        <is>
          <t>Force 3</t>
        </is>
      </c>
      <c r="I10" s="6" t="inlineStr">
        <is>
          <t>—</t>
        </is>
      </c>
      <c r="J10" s="6" t="inlineStr">
        <is>
          <t>Armoured close-order troops.</t>
        </is>
      </c>
    </row>
    <row r="11">
      <c r="A11" s="5" t="inlineStr">
        <is>
          <t>Border Fort</t>
        </is>
      </c>
      <c r="B11" s="5" t="inlineStr">
        <is>
          <t>Force</t>
        </is>
      </c>
      <c r="C11" s="5" t="n">
        <v>6</v>
      </c>
      <c r="D11" s="5" t="n">
        <v>20</v>
      </c>
      <c r="E11" s="5" t="inlineStr">
        <is>
          <t>—</t>
        </is>
      </c>
      <c r="F11" s="5" t="inlineStr">
        <is>
          <t>—</t>
        </is>
      </c>
      <c r="G11" s="5" t="inlineStr">
        <is>
          <t>1d6</t>
        </is>
      </c>
      <c r="H11" s="5" t="inlineStr">
        <is>
          <t>Force 3</t>
        </is>
      </c>
      <c r="I11" s="5" t="inlineStr">
        <is>
          <t>Action</t>
        </is>
      </c>
      <c r="J11" s="5" t="inlineStr">
        <is>
          <t>Defensive bulwark. Lets a single asset there ignore the first 1d4 damage per attack.</t>
        </is>
      </c>
    </row>
    <row r="12">
      <c r="A12" s="6" t="inlineStr">
        <is>
          <t>Cavalry</t>
        </is>
      </c>
      <c r="B12" s="6" t="inlineStr">
        <is>
          <t>Force</t>
        </is>
      </c>
      <c r="C12" s="6" t="n">
        <v>8</v>
      </c>
      <c r="D12" s="6" t="n">
        <v>12</v>
      </c>
      <c r="E12" s="6" t="inlineStr">
        <is>
          <t>F vs F</t>
        </is>
      </c>
      <c r="F12" s="6" t="inlineStr">
        <is>
          <t>1d10</t>
        </is>
      </c>
      <c r="G12" s="6" t="inlineStr">
        <is>
          <t>1d8</t>
        </is>
      </c>
      <c r="H12" s="6" t="inlineStr">
        <is>
          <t>Force 4</t>
        </is>
      </c>
      <c r="I12" s="6" t="inlineStr">
        <is>
          <t>Mobile</t>
        </is>
      </c>
      <c r="J12" s="6" t="inlineStr">
        <is>
          <t>Heavy horse; expensive, frightening.</t>
        </is>
      </c>
    </row>
    <row r="13">
      <c r="A13" s="5" t="inlineStr">
        <is>
          <t>War Wagons</t>
        </is>
      </c>
      <c r="B13" s="5" t="inlineStr">
        <is>
          <t>Force</t>
        </is>
      </c>
      <c r="C13" s="5" t="n">
        <v>10</v>
      </c>
      <c r="D13" s="5" t="n">
        <v>14</v>
      </c>
      <c r="E13" s="5" t="inlineStr">
        <is>
          <t>F vs F</t>
        </is>
      </c>
      <c r="F13" s="5" t="inlineStr">
        <is>
          <t>2d6</t>
        </is>
      </c>
      <c r="G13" s="5" t="inlineStr">
        <is>
          <t>1d8</t>
        </is>
      </c>
      <c r="H13" s="5" t="inlineStr">
        <is>
          <t>Force 4</t>
        </is>
      </c>
      <c r="I13" s="5" t="inlineStr">
        <is>
          <t>Mobile</t>
        </is>
      </c>
      <c r="J13" s="5" t="inlineStr">
        <is>
          <t>Armoured rolling platforms; murderous on open ground.</t>
        </is>
      </c>
    </row>
    <row r="14">
      <c r="A14" s="6" t="inlineStr">
        <is>
          <t>Battle Mages</t>
        </is>
      </c>
      <c r="B14" s="6" t="inlineStr">
        <is>
          <t>Force</t>
        </is>
      </c>
      <c r="C14" s="6" t="n">
        <v>10</v>
      </c>
      <c r="D14" s="6" t="n">
        <v>8</v>
      </c>
      <c r="E14" s="6" t="inlineStr">
        <is>
          <t>F vs F</t>
        </is>
      </c>
      <c r="F14" s="6" t="inlineStr">
        <is>
          <t>1d10</t>
        </is>
      </c>
      <c r="G14" s="6" t="inlineStr">
        <is>
          <t>1d6</t>
        </is>
      </c>
      <c r="H14" s="6" t="inlineStr">
        <is>
          <t>Force 3, Magic 1</t>
        </is>
      </c>
      <c r="I14" s="6" t="inlineStr">
        <is>
          <t>Special</t>
        </is>
      </c>
      <c r="J14" s="6" t="inlineStr">
        <is>
          <t>Wizards trained for war. Once per turn ignore the defender's Counter.</t>
        </is>
      </c>
    </row>
    <row r="15">
      <c r="A15" s="5" t="inlineStr">
        <is>
          <t>Knights / Champions</t>
        </is>
      </c>
      <c r="B15" s="5" t="inlineStr">
        <is>
          <t>Force</t>
        </is>
      </c>
      <c r="C15" s="5" t="n">
        <v>12</v>
      </c>
      <c r="D15" s="5" t="n">
        <v>14</v>
      </c>
      <c r="E15" s="5" t="inlineStr">
        <is>
          <t>F vs F</t>
        </is>
      </c>
      <c r="F15" s="5" t="inlineStr">
        <is>
          <t>2d6</t>
        </is>
      </c>
      <c r="G15" s="5" t="inlineStr">
        <is>
          <t>1d10</t>
        </is>
      </c>
      <c r="H15" s="5" t="inlineStr">
        <is>
          <t>Force 5</t>
        </is>
      </c>
      <c r="I15" s="5" t="inlineStr">
        <is>
          <t>—</t>
        </is>
      </c>
      <c r="J15" s="5" t="inlineStr">
        <is>
          <t>Heroes and household warriors.</t>
        </is>
      </c>
    </row>
    <row r="16">
      <c r="A16" s="6" t="inlineStr">
        <is>
          <t>Citadel</t>
        </is>
      </c>
      <c r="B16" s="6" t="inlineStr">
        <is>
          <t>Force</t>
        </is>
      </c>
      <c r="C16" s="6" t="n">
        <v>12</v>
      </c>
      <c r="D16" s="6" t="n">
        <v>30</v>
      </c>
      <c r="E16" s="6" t="inlineStr">
        <is>
          <t>—</t>
        </is>
      </c>
      <c r="F16" s="6" t="inlineStr">
        <is>
          <t>—</t>
        </is>
      </c>
      <c r="G16" s="6" t="inlineStr">
        <is>
          <t>1d10</t>
        </is>
      </c>
      <c r="H16" s="6" t="inlineStr">
        <is>
          <t>Force 4</t>
        </is>
      </c>
      <c r="I16" s="6" t="inlineStr">
        <is>
          <t>Action</t>
        </is>
      </c>
      <c r="J16" s="6" t="inlineStr">
        <is>
          <t>Fortified stronghold. Reduces damage to any one asset sharing its location by 1d4.</t>
        </is>
      </c>
    </row>
    <row r="17">
      <c r="A17" s="5" t="inlineStr">
        <is>
          <t>Pretorian Guard</t>
        </is>
      </c>
      <c r="B17" s="5" t="inlineStr">
        <is>
          <t>Force</t>
        </is>
      </c>
      <c r="C17" s="5" t="n">
        <v>16</v>
      </c>
      <c r="D17" s="5" t="n">
        <v>18</v>
      </c>
      <c r="E17" s="5" t="inlineStr">
        <is>
          <t>F vs F</t>
        </is>
      </c>
      <c r="F17" s="5" t="inlineStr">
        <is>
          <t>2d8</t>
        </is>
      </c>
      <c r="G17" s="5" t="inlineStr">
        <is>
          <t>2d6</t>
        </is>
      </c>
      <c r="H17" s="5" t="inlineStr">
        <is>
          <t>Force 6</t>
        </is>
      </c>
      <c r="I17" s="5" t="inlineStr">
        <is>
          <t>—</t>
        </is>
      </c>
      <c r="J17" s="5" t="inlineStr">
        <is>
          <t>Elite lifeguards and shock troops.</t>
        </is>
      </c>
    </row>
    <row r="18">
      <c r="A18" s="6" t="inlineStr">
        <is>
          <t>Armoury</t>
        </is>
      </c>
      <c r="B18" s="6" t="inlineStr">
        <is>
          <t>Force</t>
        </is>
      </c>
      <c r="C18" s="6" t="n">
        <v>4</v>
      </c>
      <c r="D18" s="6" t="n">
        <v>6</v>
      </c>
      <c r="E18" s="6" t="inlineStr">
        <is>
          <t>—</t>
        </is>
      </c>
      <c r="F18" s="6" t="inlineStr">
        <is>
          <t>—</t>
        </is>
      </c>
      <c r="G18" s="6" t="inlineStr">
        <is>
          <t>—</t>
        </is>
      </c>
      <c r="H18" s="6" t="inlineStr">
        <is>
          <t>Force 2</t>
        </is>
      </c>
      <c r="I18" s="6" t="inlineStr">
        <is>
          <t>Special</t>
        </is>
      </c>
      <c r="J18" s="6" t="inlineStr">
        <is>
          <t>Reduces cost of new Force assets created at this location by 1 (min 1).</t>
        </is>
      </c>
    </row>
    <row r="19">
      <c r="A19" s="5" t="inlineStr">
        <is>
          <t>Conscription Office</t>
        </is>
      </c>
      <c r="B19" s="5" t="inlineStr">
        <is>
          <t>Force</t>
        </is>
      </c>
      <c r="C19" s="5" t="n">
        <v>4</v>
      </c>
      <c r="D19" s="5" t="n">
        <v>6</v>
      </c>
      <c r="E19" s="5" t="inlineStr">
        <is>
          <t>—</t>
        </is>
      </c>
      <c r="F19" s="5" t="inlineStr">
        <is>
          <t>—</t>
        </is>
      </c>
      <c r="G19" s="5" t="inlineStr">
        <is>
          <t>—</t>
        </is>
      </c>
      <c r="H19" s="5" t="inlineStr">
        <is>
          <t>Force 2</t>
        </is>
      </c>
      <c r="I19" s="5" t="inlineStr">
        <is>
          <t>Special</t>
        </is>
      </c>
      <c r="J19" s="5" t="inlineStr">
        <is>
          <t>Once per turn produce a free Militia asset in this location.</t>
        </is>
      </c>
    </row>
    <row r="21" ht="19" customHeight="1">
      <c r="A21" s="2" t="inlineStr">
        <is>
          <t>Cunning Assets</t>
        </is>
      </c>
    </row>
    <row r="22" ht="28" customHeight="1">
      <c r="A22" s="4" t="inlineStr">
        <is>
          <t>Asset</t>
        </is>
      </c>
      <c r="B22" s="4" t="inlineStr">
        <is>
          <t>Type</t>
        </is>
      </c>
      <c r="C22" s="4" t="inlineStr">
        <is>
          <t>Cost</t>
        </is>
      </c>
      <c r="D22" s="4" t="inlineStr">
        <is>
          <t>HP</t>
        </is>
      </c>
      <c r="E22" s="4" t="inlineStr">
        <is>
          <t>Attack (Atk vs Def)</t>
        </is>
      </c>
      <c r="F22" s="4" t="inlineStr">
        <is>
          <t>Damage</t>
        </is>
      </c>
      <c r="G22" s="4" t="inlineStr">
        <is>
          <t>Counter</t>
        </is>
      </c>
      <c r="H22" s="4" t="inlineStr">
        <is>
          <t>Min Attr</t>
        </is>
      </c>
      <c r="I22" s="4" t="inlineStr">
        <is>
          <t>Traits</t>
        </is>
      </c>
      <c r="J22" s="4" t="inlineStr">
        <is>
          <t>Notes / Special</t>
        </is>
      </c>
    </row>
    <row r="23">
      <c r="A23" s="5" t="inlineStr">
        <is>
          <t>Informers</t>
        </is>
      </c>
      <c r="B23" s="5" t="inlineStr">
        <is>
          <t>Cunning</t>
        </is>
      </c>
      <c r="C23" s="5" t="n">
        <v>1</v>
      </c>
      <c r="D23" s="5" t="n">
        <v>3</v>
      </c>
      <c r="E23" s="5" t="inlineStr">
        <is>
          <t>C vs C</t>
        </is>
      </c>
      <c r="F23" s="5" t="inlineStr">
        <is>
          <t>1d4</t>
        </is>
      </c>
      <c r="G23" s="5" t="inlineStr">
        <is>
          <t>—</t>
        </is>
      </c>
      <c r="H23" s="5" t="inlineStr">
        <is>
          <t>Cunning 1</t>
        </is>
      </c>
      <c r="I23" s="5" t="inlineStr">
        <is>
          <t>Stealthed, Special</t>
        </is>
      </c>
      <c r="J23" s="5" t="inlineStr">
        <is>
          <t>Provide warning of incoming attacks; on a Cunning check, attacker reveals itself.</t>
        </is>
      </c>
    </row>
    <row r="24">
      <c r="A24" s="6" t="inlineStr">
        <is>
          <t>Smugglers</t>
        </is>
      </c>
      <c r="B24" s="6" t="inlineStr">
        <is>
          <t>Cunning</t>
        </is>
      </c>
      <c r="C24" s="6" t="n">
        <v>2</v>
      </c>
      <c r="D24" s="6" t="n">
        <v>4</v>
      </c>
      <c r="E24" s="6" t="inlineStr">
        <is>
          <t>C vs W</t>
        </is>
      </c>
      <c r="F24" s="6" t="inlineStr">
        <is>
          <t>1d6</t>
        </is>
      </c>
      <c r="G24" s="6" t="inlineStr">
        <is>
          <t>—</t>
        </is>
      </c>
      <c r="H24" s="6" t="inlineStr">
        <is>
          <t>Cunning 1</t>
        </is>
      </c>
      <c r="I24" s="6" t="inlineStr">
        <is>
          <t>Stealthed, Mobile</t>
        </is>
      </c>
      <c r="J24" s="6" t="inlineStr">
        <is>
          <t>Move goods or assets across borders cheaply; halves Move costs.</t>
        </is>
      </c>
    </row>
    <row r="25">
      <c r="A25" s="5" t="inlineStr">
        <is>
          <t>Brigand Cell</t>
        </is>
      </c>
      <c r="B25" s="5" t="inlineStr">
        <is>
          <t>Cunning</t>
        </is>
      </c>
      <c r="C25" s="5" t="n">
        <v>2</v>
      </c>
      <c r="D25" s="5" t="n">
        <v>6</v>
      </c>
      <c r="E25" s="5" t="inlineStr">
        <is>
          <t>C vs F</t>
        </is>
      </c>
      <c r="F25" s="5" t="inlineStr">
        <is>
          <t>1d6</t>
        </is>
      </c>
      <c r="G25" s="5" t="inlineStr">
        <is>
          <t>1d4</t>
        </is>
      </c>
      <c r="H25" s="5" t="inlineStr">
        <is>
          <t>Cunning 1</t>
        </is>
      </c>
      <c r="I25" s="5" t="inlineStr">
        <is>
          <t>Mobile</t>
        </is>
      </c>
      <c r="J25" s="5" t="inlineStr">
        <is>
          <t>Highwaymen and racketeers.</t>
        </is>
      </c>
    </row>
    <row r="26">
      <c r="A26" s="6" t="inlineStr">
        <is>
          <t>Spies</t>
        </is>
      </c>
      <c r="B26" s="6" t="inlineStr">
        <is>
          <t>Cunning</t>
        </is>
      </c>
      <c r="C26" s="6" t="n">
        <v>4</v>
      </c>
      <c r="D26" s="6" t="n">
        <v>4</v>
      </c>
      <c r="E26" s="6" t="inlineStr">
        <is>
          <t>C vs C</t>
        </is>
      </c>
      <c r="F26" s="6" t="inlineStr">
        <is>
          <t>1d6</t>
        </is>
      </c>
      <c r="G26" s="6" t="inlineStr">
        <is>
          <t>—</t>
        </is>
      </c>
      <c r="H26" s="6" t="inlineStr">
        <is>
          <t>Cunning 2</t>
        </is>
      </c>
      <c r="I26" s="6" t="inlineStr">
        <is>
          <t>Stealthed, Subtle</t>
        </is>
      </c>
      <c r="J26" s="6" t="inlineStr">
        <is>
          <t>Once per turn learn one fact about a rival's hidden assets or income.</t>
        </is>
      </c>
    </row>
    <row r="27">
      <c r="A27" s="5" t="inlineStr">
        <is>
          <t>Saboteurs</t>
        </is>
      </c>
      <c r="B27" s="5" t="inlineStr">
        <is>
          <t>Cunning</t>
        </is>
      </c>
      <c r="C27" s="5" t="n">
        <v>4</v>
      </c>
      <c r="D27" s="5" t="n">
        <v>6</v>
      </c>
      <c r="E27" s="5" t="inlineStr">
        <is>
          <t>C vs W</t>
        </is>
      </c>
      <c r="F27" s="5" t="inlineStr">
        <is>
          <t>2d4</t>
        </is>
      </c>
      <c r="G27" s="5" t="inlineStr">
        <is>
          <t>—</t>
        </is>
      </c>
      <c r="H27" s="5" t="inlineStr">
        <is>
          <t>Cunning 2</t>
        </is>
      </c>
      <c r="I27" s="5" t="inlineStr">
        <is>
          <t>Subtle</t>
        </is>
      </c>
      <c r="J27" s="5" t="inlineStr">
        <is>
          <t>Hit infrastructure rather than soldiers.</t>
        </is>
      </c>
    </row>
    <row r="28">
      <c r="A28" s="6" t="inlineStr">
        <is>
          <t>Whisper Network</t>
        </is>
      </c>
      <c r="B28" s="6" t="inlineStr">
        <is>
          <t>Cunning</t>
        </is>
      </c>
      <c r="C28" s="6" t="n">
        <v>4</v>
      </c>
      <c r="D28" s="6" t="n">
        <v>6</v>
      </c>
      <c r="E28" s="6" t="inlineStr">
        <is>
          <t>C vs C</t>
        </is>
      </c>
      <c r="F28" s="6" t="inlineStr">
        <is>
          <t>1d6</t>
        </is>
      </c>
      <c r="G28" s="6" t="inlineStr">
        <is>
          <t>1d4</t>
        </is>
      </c>
      <c r="H28" s="6" t="inlineStr">
        <is>
          <t>Cunning 2</t>
        </is>
      </c>
      <c r="I28" s="6" t="inlineStr">
        <is>
          <t>Subtle</t>
        </is>
      </c>
      <c r="J28" s="6" t="inlineStr">
        <is>
          <t>Coordinates rumours; increases the DC of rival Expand Influence rolls by 1 in shared locations.</t>
        </is>
      </c>
    </row>
    <row r="29">
      <c r="A29" s="5" t="inlineStr">
        <is>
          <t>Thieves' Guild</t>
        </is>
      </c>
      <c r="B29" s="5" t="inlineStr">
        <is>
          <t>Cunning</t>
        </is>
      </c>
      <c r="C29" s="5" t="n">
        <v>4</v>
      </c>
      <c r="D29" s="5" t="n">
        <v>8</v>
      </c>
      <c r="E29" s="5" t="inlineStr">
        <is>
          <t>C vs W</t>
        </is>
      </c>
      <c r="F29" s="5" t="inlineStr">
        <is>
          <t>1d8</t>
        </is>
      </c>
      <c r="G29" s="5" t="inlineStr">
        <is>
          <t>1d6</t>
        </is>
      </c>
      <c r="H29" s="5" t="inlineStr">
        <is>
          <t>Cunning 3</t>
        </is>
      </c>
      <c r="I29" s="5" t="inlineStr">
        <is>
          <t>—</t>
        </is>
      </c>
      <c r="J29" s="5" t="inlineStr">
        <is>
          <t>Organised crime. Generates 1 Treasure every other turn (5+ on 1d6).</t>
        </is>
      </c>
    </row>
    <row r="30">
      <c r="A30" s="6" t="inlineStr">
        <is>
          <t>Bribed Officials</t>
        </is>
      </c>
      <c r="B30" s="6" t="inlineStr">
        <is>
          <t>Cunning</t>
        </is>
      </c>
      <c r="C30" s="6" t="n">
        <v>6</v>
      </c>
      <c r="D30" s="6" t="n">
        <v>8</v>
      </c>
      <c r="E30" s="6" t="inlineStr">
        <is>
          <t>C vs C</t>
        </is>
      </c>
      <c r="F30" s="6" t="inlineStr">
        <is>
          <t>1d6</t>
        </is>
      </c>
      <c r="G30" s="6" t="inlineStr">
        <is>
          <t>—</t>
        </is>
      </c>
      <c r="H30" s="6" t="inlineStr">
        <is>
          <t>Cunning 3</t>
        </is>
      </c>
      <c r="I30" s="6" t="inlineStr">
        <is>
          <t>Subtle, Special</t>
        </is>
      </c>
      <c r="J30" s="6" t="inlineStr">
        <is>
          <t>Allow one extra Move action per turn at no Treasure cost.</t>
        </is>
      </c>
    </row>
    <row r="31">
      <c r="A31" s="5" t="inlineStr">
        <is>
          <t>Assassins</t>
        </is>
      </c>
      <c r="B31" s="5" t="inlineStr">
        <is>
          <t>Cunning</t>
        </is>
      </c>
      <c r="C31" s="5" t="n">
        <v>6</v>
      </c>
      <c r="D31" s="5" t="n">
        <v>6</v>
      </c>
      <c r="E31" s="5" t="inlineStr">
        <is>
          <t>C vs F</t>
        </is>
      </c>
      <c r="F31" s="5" t="inlineStr">
        <is>
          <t>1d10</t>
        </is>
      </c>
      <c r="G31" s="5" t="inlineStr">
        <is>
          <t>—</t>
        </is>
      </c>
      <c r="H31" s="5" t="inlineStr">
        <is>
          <t>Cunning 3</t>
        </is>
      </c>
      <c r="I31" s="5" t="inlineStr">
        <is>
          <t>Stealthed, Action</t>
        </is>
      </c>
      <c r="J31" s="5" t="inlineStr">
        <is>
          <t>Strike vulnerable leaders. Double damage vs HP-4-or-less assets.</t>
        </is>
      </c>
    </row>
    <row r="32">
      <c r="A32" s="6" t="inlineStr">
        <is>
          <t>Cult Network</t>
        </is>
      </c>
      <c r="B32" s="6" t="inlineStr">
        <is>
          <t>Cunning</t>
        </is>
      </c>
      <c r="C32" s="6" t="n">
        <v>8</v>
      </c>
      <c r="D32" s="6" t="n">
        <v>10</v>
      </c>
      <c r="E32" s="6" t="inlineStr">
        <is>
          <t>C vs C</t>
        </is>
      </c>
      <c r="F32" s="6" t="inlineStr">
        <is>
          <t>1d10</t>
        </is>
      </c>
      <c r="G32" s="6" t="inlineStr">
        <is>
          <t>—</t>
        </is>
      </c>
      <c r="H32" s="6" t="inlineStr">
        <is>
          <t>Cunning 4</t>
        </is>
      </c>
      <c r="I32" s="6" t="inlineStr">
        <is>
          <t>Subtle, Special</t>
        </is>
      </c>
      <c r="J32" s="6" t="inlineStr">
        <is>
          <t>Once per turn, attempt to convert a 1-cost rival asset to your side (Cunning check).</t>
        </is>
      </c>
    </row>
    <row r="33">
      <c r="A33" s="5" t="inlineStr">
        <is>
          <t>Eyes Everywhere</t>
        </is>
      </c>
      <c r="B33" s="5" t="inlineStr">
        <is>
          <t>Cunning</t>
        </is>
      </c>
      <c r="C33" s="5" t="n">
        <v>8</v>
      </c>
      <c r="D33" s="5" t="n">
        <v>10</v>
      </c>
      <c r="E33" s="5" t="inlineStr">
        <is>
          <t>C vs C</t>
        </is>
      </c>
      <c r="F33" s="5" t="inlineStr">
        <is>
          <t>1d8</t>
        </is>
      </c>
      <c r="G33" s="5" t="inlineStr">
        <is>
          <t>1d4</t>
        </is>
      </c>
      <c r="H33" s="5" t="inlineStr">
        <is>
          <t>Cunning 4</t>
        </is>
      </c>
      <c r="I33" s="5" t="inlineStr">
        <is>
          <t>Stealthed</t>
        </is>
      </c>
      <c r="J33" s="5" t="inlineStr">
        <is>
          <t>Reveal any one Stealthed rival asset in the same location once per turn.</t>
        </is>
      </c>
    </row>
    <row r="34">
      <c r="A34" s="6" t="inlineStr">
        <is>
          <t>Seductive Cabal</t>
        </is>
      </c>
      <c r="B34" s="6" t="inlineStr">
        <is>
          <t>Cunning</t>
        </is>
      </c>
      <c r="C34" s="6" t="n">
        <v>10</v>
      </c>
      <c r="D34" s="6" t="n">
        <v>10</v>
      </c>
      <c r="E34" s="6" t="inlineStr">
        <is>
          <t>C vs C</t>
        </is>
      </c>
      <c r="F34" s="6" t="inlineStr">
        <is>
          <t>1d10</t>
        </is>
      </c>
      <c r="G34" s="6" t="inlineStr">
        <is>
          <t>—</t>
        </is>
      </c>
      <c r="H34" s="6" t="inlineStr">
        <is>
          <t>Cunning 5</t>
        </is>
      </c>
      <c r="I34" s="6" t="inlineStr">
        <is>
          <t>Subtle</t>
        </is>
      </c>
      <c r="J34" s="6" t="inlineStr">
        <is>
          <t>Charm and blackmail. Reduces a rival faction's Cunning by 1 while present.</t>
        </is>
      </c>
    </row>
    <row r="35">
      <c r="A35" s="5" t="inlineStr">
        <is>
          <t>Plain-Clothes Enforcers</t>
        </is>
      </c>
      <c r="B35" s="5" t="inlineStr">
        <is>
          <t>Cunning</t>
        </is>
      </c>
      <c r="C35" s="5" t="n">
        <v>6</v>
      </c>
      <c r="D35" s="5" t="n">
        <v>8</v>
      </c>
      <c r="E35" s="5" t="inlineStr">
        <is>
          <t>C vs F</t>
        </is>
      </c>
      <c r="F35" s="5" t="inlineStr">
        <is>
          <t>1d8</t>
        </is>
      </c>
      <c r="G35" s="5" t="inlineStr">
        <is>
          <t>1d6</t>
        </is>
      </c>
      <c r="H35" s="5" t="inlineStr">
        <is>
          <t>Cunning 3</t>
        </is>
      </c>
      <c r="I35" s="5" t="inlineStr">
        <is>
          <t>—</t>
        </is>
      </c>
      <c r="J35" s="5" t="inlineStr">
        <is>
          <t>Secret police. Strong against Stealthed assets.</t>
        </is>
      </c>
    </row>
    <row r="37" ht="19" customHeight="1">
      <c r="A37" s="2" t="inlineStr">
        <is>
          <t>Wealth Assets</t>
        </is>
      </c>
    </row>
    <row r="38" ht="28" customHeight="1">
      <c r="A38" s="4" t="inlineStr">
        <is>
          <t>Asset</t>
        </is>
      </c>
      <c r="B38" s="4" t="inlineStr">
        <is>
          <t>Type</t>
        </is>
      </c>
      <c r="C38" s="4" t="inlineStr">
        <is>
          <t>Cost</t>
        </is>
      </c>
      <c r="D38" s="4" t="inlineStr">
        <is>
          <t>HP</t>
        </is>
      </c>
      <c r="E38" s="4" t="inlineStr">
        <is>
          <t>Attack (Atk vs Def)</t>
        </is>
      </c>
      <c r="F38" s="4" t="inlineStr">
        <is>
          <t>Damage</t>
        </is>
      </c>
      <c r="G38" s="4" t="inlineStr">
        <is>
          <t>Counter</t>
        </is>
      </c>
      <c r="H38" s="4" t="inlineStr">
        <is>
          <t>Min Attr</t>
        </is>
      </c>
      <c r="I38" s="4" t="inlineStr">
        <is>
          <t>Traits</t>
        </is>
      </c>
      <c r="J38" s="4" t="inlineStr">
        <is>
          <t>Notes / Special</t>
        </is>
      </c>
    </row>
    <row r="39">
      <c r="A39" s="5" t="inlineStr">
        <is>
          <t>Farmers</t>
        </is>
      </c>
      <c r="B39" s="5" t="inlineStr">
        <is>
          <t>Wealth</t>
        </is>
      </c>
      <c r="C39" s="5" t="n">
        <v>1</v>
      </c>
      <c r="D39" s="5" t="n">
        <v>4</v>
      </c>
      <c r="E39" s="5" t="inlineStr">
        <is>
          <t>W vs W</t>
        </is>
      </c>
      <c r="F39" s="5" t="inlineStr">
        <is>
          <t>1d4</t>
        </is>
      </c>
      <c r="G39" s="5" t="inlineStr">
        <is>
          <t>1d4</t>
        </is>
      </c>
      <c r="H39" s="5" t="inlineStr">
        <is>
          <t>Wealth 1</t>
        </is>
      </c>
      <c r="I39" s="5" t="inlineStr">
        <is>
          <t>Special</t>
        </is>
      </c>
      <c r="J39" s="5" t="inlineStr">
        <is>
          <t>On 5+ on 1d6 at start of turn, gain 1 Treasure.</t>
        </is>
      </c>
    </row>
    <row r="40">
      <c r="A40" s="6" t="inlineStr">
        <is>
          <t>Pedlars</t>
        </is>
      </c>
      <c r="B40" s="6" t="inlineStr">
        <is>
          <t>Wealth</t>
        </is>
      </c>
      <c r="C40" s="6" t="n">
        <v>1</v>
      </c>
      <c r="D40" s="6" t="n">
        <v>4</v>
      </c>
      <c r="E40" s="6" t="inlineStr">
        <is>
          <t>W vs W</t>
        </is>
      </c>
      <c r="F40" s="6" t="inlineStr">
        <is>
          <t>1d4</t>
        </is>
      </c>
      <c r="G40" s="6" t="inlineStr">
        <is>
          <t>—</t>
        </is>
      </c>
      <c r="H40" s="6" t="inlineStr">
        <is>
          <t>Wealth 1</t>
        </is>
      </c>
      <c r="I40" s="6" t="inlineStr">
        <is>
          <t>Mobile</t>
        </is>
      </c>
      <c r="J40" s="6" t="inlineStr">
        <is>
          <t>Travelling traders; can move freely each turn.</t>
        </is>
      </c>
    </row>
    <row r="41">
      <c r="A41" s="5" t="inlineStr">
        <is>
          <t>Smiths</t>
        </is>
      </c>
      <c r="B41" s="5" t="inlineStr">
        <is>
          <t>Wealth</t>
        </is>
      </c>
      <c r="C41" s="5" t="n">
        <v>2</v>
      </c>
      <c r="D41" s="5" t="n">
        <v>6</v>
      </c>
      <c r="E41" s="5" t="inlineStr">
        <is>
          <t>W vs F</t>
        </is>
      </c>
      <c r="F41" s="5" t="inlineStr">
        <is>
          <t>1d6</t>
        </is>
      </c>
      <c r="G41" s="5" t="inlineStr">
        <is>
          <t>1d4</t>
        </is>
      </c>
      <c r="H41" s="5" t="inlineStr">
        <is>
          <t>Wealth 2</t>
        </is>
      </c>
      <c r="I41" s="5" t="inlineStr">
        <is>
          <t>—</t>
        </is>
      </c>
      <c r="J41" s="5" t="inlineStr">
        <is>
          <t>Provide arms and tools. Discount Force assets here by 1 cost.</t>
        </is>
      </c>
    </row>
    <row r="42">
      <c r="A42" s="6" t="inlineStr">
        <is>
          <t>Workshops</t>
        </is>
      </c>
      <c r="B42" s="6" t="inlineStr">
        <is>
          <t>Wealth</t>
        </is>
      </c>
      <c r="C42" s="6" t="n">
        <v>4</v>
      </c>
      <c r="D42" s="6" t="n">
        <v>6</v>
      </c>
      <c r="E42" s="6" t="inlineStr">
        <is>
          <t>—</t>
        </is>
      </c>
      <c r="F42" s="6" t="inlineStr">
        <is>
          <t>—</t>
        </is>
      </c>
      <c r="G42" s="6" t="inlineStr">
        <is>
          <t>—</t>
        </is>
      </c>
      <c r="H42" s="6" t="inlineStr">
        <is>
          <t>Wealth 2</t>
        </is>
      </c>
      <c r="I42" s="6" t="inlineStr">
        <is>
          <t>Special</t>
        </is>
      </c>
      <c r="J42" s="6" t="inlineStr">
        <is>
          <t>Reduce cost of new Wealth and Force assets here by 1 (min 1).</t>
        </is>
      </c>
    </row>
    <row r="43">
      <c r="A43" s="5" t="inlineStr">
        <is>
          <t>Storehouses</t>
        </is>
      </c>
      <c r="B43" s="5" t="inlineStr">
        <is>
          <t>Wealth</t>
        </is>
      </c>
      <c r="C43" s="5" t="n">
        <v>4</v>
      </c>
      <c r="D43" s="5" t="n">
        <v>8</v>
      </c>
      <c r="E43" s="5" t="inlineStr">
        <is>
          <t>—</t>
        </is>
      </c>
      <c r="F43" s="5" t="inlineStr">
        <is>
          <t>—</t>
        </is>
      </c>
      <c r="G43" s="5" t="inlineStr">
        <is>
          <t>—</t>
        </is>
      </c>
      <c r="H43" s="5" t="inlineStr">
        <is>
          <t>Wealth 2</t>
        </is>
      </c>
      <c r="I43" s="5" t="inlineStr">
        <is>
          <t>Special</t>
        </is>
      </c>
      <c r="J43" s="5" t="inlineStr">
        <is>
          <t>Stockpile up to 4 Treasure that can be spent later or moved.</t>
        </is>
      </c>
    </row>
    <row r="44">
      <c r="A44" s="6" t="inlineStr">
        <is>
          <t>Bonded Service</t>
        </is>
      </c>
      <c r="B44" s="6" t="inlineStr">
        <is>
          <t>Wealth</t>
        </is>
      </c>
      <c r="C44" s="6" t="n">
        <v>6</v>
      </c>
      <c r="D44" s="6" t="n">
        <v>8</v>
      </c>
      <c r="E44" s="6" t="inlineStr">
        <is>
          <t>W vs F</t>
        </is>
      </c>
      <c r="F44" s="6" t="inlineStr">
        <is>
          <t>1d8</t>
        </is>
      </c>
      <c r="G44" s="6" t="inlineStr">
        <is>
          <t>1d4</t>
        </is>
      </c>
      <c r="H44" s="6" t="inlineStr">
        <is>
          <t>Wealth 3</t>
        </is>
      </c>
      <c r="I44" s="6" t="inlineStr">
        <is>
          <t>—</t>
        </is>
      </c>
      <c r="J44" s="6" t="inlineStr">
        <is>
          <t>Indentured labour. Provides 1 Treasure every other turn.</t>
        </is>
      </c>
    </row>
    <row r="45">
      <c r="A45" s="5" t="inlineStr">
        <is>
          <t>Markets</t>
        </is>
      </c>
      <c r="B45" s="5" t="inlineStr">
        <is>
          <t>Wealth</t>
        </is>
      </c>
      <c r="C45" s="5" t="n">
        <v>6</v>
      </c>
      <c r="D45" s="5" t="n">
        <v>8</v>
      </c>
      <c r="E45" s="5" t="inlineStr">
        <is>
          <t>W vs W</t>
        </is>
      </c>
      <c r="F45" s="5" t="inlineStr">
        <is>
          <t>1d6</t>
        </is>
      </c>
      <c r="G45" s="5" t="inlineStr">
        <is>
          <t>—</t>
        </is>
      </c>
      <c r="H45" s="5" t="inlineStr">
        <is>
          <t>Wealth 3</t>
        </is>
      </c>
      <c r="I45" s="5" t="inlineStr">
        <is>
          <t>Special</t>
        </is>
      </c>
      <c r="J45" s="5" t="inlineStr">
        <is>
          <t>Gain +1 Treasure each turn this asset is unharmed.</t>
        </is>
      </c>
    </row>
    <row r="46">
      <c r="A46" s="6" t="inlineStr">
        <is>
          <t>Slavers</t>
        </is>
      </c>
      <c r="B46" s="6" t="inlineStr">
        <is>
          <t>Wealth</t>
        </is>
      </c>
      <c r="C46" s="6" t="n">
        <v>6</v>
      </c>
      <c r="D46" s="6" t="n">
        <v>8</v>
      </c>
      <c r="E46" s="6" t="inlineStr">
        <is>
          <t>W vs F</t>
        </is>
      </c>
      <c r="F46" s="6" t="inlineStr">
        <is>
          <t>1d8</t>
        </is>
      </c>
      <c r="G46" s="6" t="inlineStr">
        <is>
          <t>1d4</t>
        </is>
      </c>
      <c r="H46" s="6" t="inlineStr">
        <is>
          <t>Wealth 3</t>
        </is>
      </c>
      <c r="I46" s="6" t="inlineStr">
        <is>
          <t>—</t>
        </is>
      </c>
      <c r="J46" s="6" t="inlineStr">
        <is>
          <t>Captures sentient assets; can convert a defeated 1-cost enemy into 1 Treasure.</t>
        </is>
      </c>
    </row>
    <row r="47">
      <c r="A47" s="5" t="inlineStr">
        <is>
          <t>Usurers</t>
        </is>
      </c>
      <c r="B47" s="5" t="inlineStr">
        <is>
          <t>Wealth</t>
        </is>
      </c>
      <c r="C47" s="5" t="n">
        <v>4</v>
      </c>
      <c r="D47" s="5" t="n">
        <v>8</v>
      </c>
      <c r="E47" s="5" t="inlineStr">
        <is>
          <t>W vs W</t>
        </is>
      </c>
      <c r="F47" s="5" t="inlineStr">
        <is>
          <t>1d10</t>
        </is>
      </c>
      <c r="G47" s="5" t="inlineStr">
        <is>
          <t>—</t>
        </is>
      </c>
      <c r="H47" s="5" t="inlineStr">
        <is>
          <t>Wealth 3</t>
        </is>
      </c>
      <c r="I47" s="5" t="inlineStr">
        <is>
          <t>Special</t>
        </is>
      </c>
      <c r="J47" s="5" t="inlineStr">
        <is>
          <t>Take 1d4 damage when used to reduce cost of building or repairing an asset by 2.</t>
        </is>
      </c>
    </row>
    <row r="48">
      <c r="A48" s="6" t="inlineStr">
        <is>
          <t>Tax Collectors</t>
        </is>
      </c>
      <c r="B48" s="6" t="inlineStr">
        <is>
          <t>Wealth</t>
        </is>
      </c>
      <c r="C48" s="6" t="n">
        <v>8</v>
      </c>
      <c r="D48" s="6" t="n">
        <v>10</v>
      </c>
      <c r="E48" s="6" t="inlineStr">
        <is>
          <t>W vs W</t>
        </is>
      </c>
      <c r="F48" s="6" t="inlineStr">
        <is>
          <t>1d8</t>
        </is>
      </c>
      <c r="G48" s="6" t="inlineStr">
        <is>
          <t>1d4</t>
        </is>
      </c>
      <c r="H48" s="6" t="inlineStr">
        <is>
          <t>Wealth 4</t>
        </is>
      </c>
      <c r="I48" s="6" t="inlineStr">
        <is>
          <t>Special</t>
        </is>
      </c>
      <c r="J48" s="6" t="inlineStr">
        <is>
          <t>Generate +1 Treasure each turn; +2 if no rival Wealth asset shares the location.</t>
        </is>
      </c>
    </row>
    <row r="49">
      <c r="A49" s="5" t="inlineStr">
        <is>
          <t>Trade Treaty</t>
        </is>
      </c>
      <c r="B49" s="5" t="inlineStr">
        <is>
          <t>Wealth</t>
        </is>
      </c>
      <c r="C49" s="5" t="n">
        <v>8</v>
      </c>
      <c r="D49" s="5" t="n">
        <v>10</v>
      </c>
      <c r="E49" s="5" t="inlineStr">
        <is>
          <t>W vs W</t>
        </is>
      </c>
      <c r="F49" s="5" t="inlineStr">
        <is>
          <t>1d6</t>
        </is>
      </c>
      <c r="G49" s="5" t="inlineStr">
        <is>
          <t>—</t>
        </is>
      </c>
      <c r="H49" s="5" t="inlineStr">
        <is>
          <t>Wealth 4</t>
        </is>
      </c>
      <c r="I49" s="5" t="inlineStr">
        <is>
          <t>Subtle</t>
        </is>
      </c>
      <c r="J49" s="5" t="inlineStr">
        <is>
          <t>Each turn, gain +1 Treasure for every faction you have a treaty with.</t>
        </is>
      </c>
    </row>
    <row r="50">
      <c r="A50" s="6" t="inlineStr">
        <is>
          <t>Counting House</t>
        </is>
      </c>
      <c r="B50" s="6" t="inlineStr">
        <is>
          <t>Wealth</t>
        </is>
      </c>
      <c r="C50" s="6" t="n">
        <v>12</v>
      </c>
      <c r="D50" s="6" t="n">
        <v>12</v>
      </c>
      <c r="E50" s="6" t="inlineStr">
        <is>
          <t>W vs W</t>
        </is>
      </c>
      <c r="F50" s="6" t="inlineStr">
        <is>
          <t>1d10</t>
        </is>
      </c>
      <c r="G50" s="6" t="inlineStr">
        <is>
          <t>1d6</t>
        </is>
      </c>
      <c r="H50" s="6" t="inlineStr">
        <is>
          <t>Wealth 5</t>
        </is>
      </c>
      <c r="I50" s="6" t="inlineStr">
        <is>
          <t>—</t>
        </is>
      </c>
      <c r="J50" s="6" t="inlineStr">
        <is>
          <t>Banker-financier. Holds Treasure between turns and lets you lend to other factions.</t>
        </is>
      </c>
    </row>
    <row r="51">
      <c r="A51" s="5" t="inlineStr">
        <is>
          <t>Merchant Princes</t>
        </is>
      </c>
      <c r="B51" s="5" t="inlineStr">
        <is>
          <t>Wealth</t>
        </is>
      </c>
      <c r="C51" s="5" t="n">
        <v>16</v>
      </c>
      <c r="D51" s="5" t="n">
        <v>14</v>
      </c>
      <c r="E51" s="5" t="inlineStr">
        <is>
          <t>W vs W</t>
        </is>
      </c>
      <c r="F51" s="5" t="inlineStr">
        <is>
          <t>2d6</t>
        </is>
      </c>
      <c r="G51" s="5" t="inlineStr">
        <is>
          <t>1d8</t>
        </is>
      </c>
      <c r="H51" s="5" t="inlineStr">
        <is>
          <t>Wealth 6</t>
        </is>
      </c>
      <c r="I51" s="5" t="inlineStr">
        <is>
          <t>—</t>
        </is>
      </c>
      <c r="J51" s="5" t="inlineStr">
        <is>
          <t>Family dynasties that dominate trade. +2 Treasure per turn.</t>
        </is>
      </c>
    </row>
    <row r="52">
      <c r="A52" s="6" t="inlineStr">
        <is>
          <t>Insurance Compact</t>
        </is>
      </c>
      <c r="B52" s="6" t="inlineStr">
        <is>
          <t>Wealth</t>
        </is>
      </c>
      <c r="C52" s="6" t="n">
        <v>8</v>
      </c>
      <c r="D52" s="6" t="n">
        <v>10</v>
      </c>
      <c r="E52" s="6" t="inlineStr">
        <is>
          <t>W vs W</t>
        </is>
      </c>
      <c r="F52" s="6" t="inlineStr">
        <is>
          <t>1d6</t>
        </is>
      </c>
      <c r="G52" s="6" t="inlineStr">
        <is>
          <t>1d4</t>
        </is>
      </c>
      <c r="H52" s="6" t="inlineStr">
        <is>
          <t>Wealth 4</t>
        </is>
      </c>
      <c r="I52" s="6" t="inlineStr">
        <is>
          <t>Special</t>
        </is>
      </c>
      <c r="J52" s="6" t="inlineStr">
        <is>
          <t>Pay 1 Treasure to negate the loss of a destroyed Wealth asset (once per turn).</t>
        </is>
      </c>
    </row>
    <row r="54" ht="19" customHeight="1">
      <c r="A54" s="2" t="inlineStr">
        <is>
          <t>Magic Assets</t>
        </is>
      </c>
    </row>
    <row r="55" ht="28" customHeight="1">
      <c r="A55" s="4" t="inlineStr">
        <is>
          <t>Asset</t>
        </is>
      </c>
      <c r="B55" s="4" t="inlineStr">
        <is>
          <t>Type</t>
        </is>
      </c>
      <c r="C55" s="4" t="inlineStr">
        <is>
          <t>Cost</t>
        </is>
      </c>
      <c r="D55" s="4" t="inlineStr">
        <is>
          <t>HP</t>
        </is>
      </c>
      <c r="E55" s="4" t="inlineStr">
        <is>
          <t>Attack (Atk vs Def)</t>
        </is>
      </c>
      <c r="F55" s="4" t="inlineStr">
        <is>
          <t>Damage</t>
        </is>
      </c>
      <c r="G55" s="4" t="inlineStr">
        <is>
          <t>Counter</t>
        </is>
      </c>
      <c r="H55" s="4" t="inlineStr">
        <is>
          <t>Min Attr</t>
        </is>
      </c>
      <c r="I55" s="4" t="inlineStr">
        <is>
          <t>Traits</t>
        </is>
      </c>
      <c r="J55" s="4" t="inlineStr">
        <is>
          <t>Notes / Special</t>
        </is>
      </c>
    </row>
    <row r="56">
      <c r="A56" s="5" t="inlineStr">
        <is>
          <t>Hedge Mages</t>
        </is>
      </c>
      <c r="B56" s="5" t="inlineStr">
        <is>
          <t>Magic</t>
        </is>
      </c>
      <c r="C56" s="5" t="n">
        <v>4</v>
      </c>
      <c r="D56" s="5" t="n">
        <v>6</v>
      </c>
      <c r="E56" s="5" t="inlineStr">
        <is>
          <t>M vs M</t>
        </is>
      </c>
      <c r="F56" s="5" t="inlineStr">
        <is>
          <t>1d6</t>
        </is>
      </c>
      <c r="G56" s="5" t="inlineStr">
        <is>
          <t>1d4</t>
        </is>
      </c>
      <c r="H56" s="5" t="inlineStr">
        <is>
          <t>Magic 1</t>
        </is>
      </c>
      <c r="I56" s="5" t="inlineStr">
        <is>
          <t>—</t>
        </is>
      </c>
      <c r="J56" s="5" t="inlineStr">
        <is>
          <t>Folk witches and cunning-folk; cheap arcane help.</t>
        </is>
      </c>
    </row>
    <row r="57">
      <c r="A57" s="6" t="inlineStr">
        <is>
          <t>Spirit Walkers</t>
        </is>
      </c>
      <c r="B57" s="6" t="inlineStr">
        <is>
          <t>Magic</t>
        </is>
      </c>
      <c r="C57" s="6" t="n">
        <v>6</v>
      </c>
      <c r="D57" s="6" t="n">
        <v>6</v>
      </c>
      <c r="E57" s="6" t="inlineStr">
        <is>
          <t>M vs C</t>
        </is>
      </c>
      <c r="F57" s="6" t="inlineStr">
        <is>
          <t>1d6</t>
        </is>
      </c>
      <c r="G57" s="6" t="inlineStr">
        <is>
          <t>—</t>
        </is>
      </c>
      <c r="H57" s="6" t="inlineStr">
        <is>
          <t>Magic 2</t>
        </is>
      </c>
      <c r="I57" s="6" t="inlineStr">
        <is>
          <t>Stealthed, Subtle</t>
        </is>
      </c>
      <c r="J57" s="6" t="inlineStr">
        <is>
          <t>Scout the spirit world; reveal one rival Stealthed asset per turn.</t>
        </is>
      </c>
    </row>
    <row r="58">
      <c r="A58" s="5" t="inlineStr">
        <is>
          <t>Ritual Casters</t>
        </is>
      </c>
      <c r="B58" s="5" t="inlineStr">
        <is>
          <t>Magic</t>
        </is>
      </c>
      <c r="C58" s="5" t="n">
        <v>6</v>
      </c>
      <c r="D58" s="5" t="n">
        <v>6</v>
      </c>
      <c r="E58" s="5" t="inlineStr">
        <is>
          <t>M vs M</t>
        </is>
      </c>
      <c r="F58" s="5" t="inlineStr">
        <is>
          <t>1d8</t>
        </is>
      </c>
      <c r="G58" s="5" t="inlineStr">
        <is>
          <t>1d4</t>
        </is>
      </c>
      <c r="H58" s="5" t="inlineStr">
        <is>
          <t>Magic 2</t>
        </is>
      </c>
      <c r="I58" s="5" t="inlineStr">
        <is>
          <t>Subtle</t>
        </is>
      </c>
      <c r="J58" s="5" t="inlineStr">
        <is>
          <t>Strike at consecrated targets; double damage vs Cult Networks.</t>
        </is>
      </c>
    </row>
    <row r="59">
      <c r="A59" s="6" t="inlineStr">
        <is>
          <t>Witch Coven</t>
        </is>
      </c>
      <c r="B59" s="6" t="inlineStr">
        <is>
          <t>Magic</t>
        </is>
      </c>
      <c r="C59" s="6" t="n">
        <v>8</v>
      </c>
      <c r="D59" s="6" t="n">
        <v>8</v>
      </c>
      <c r="E59" s="6" t="inlineStr">
        <is>
          <t>M vs M</t>
        </is>
      </c>
      <c r="F59" s="6" t="inlineStr">
        <is>
          <t>1d8</t>
        </is>
      </c>
      <c r="G59" s="6" t="inlineStr">
        <is>
          <t>1d6</t>
        </is>
      </c>
      <c r="H59" s="6" t="inlineStr">
        <is>
          <t>Magic 2</t>
        </is>
      </c>
      <c r="I59" s="6" t="inlineStr">
        <is>
          <t>—</t>
        </is>
      </c>
      <c r="J59" s="6" t="inlineStr">
        <is>
          <t>Cabal of practitioners; reduces enemy Magic by 1 while present.</t>
        </is>
      </c>
    </row>
    <row r="60">
      <c r="A60" s="5" t="inlineStr">
        <is>
          <t>Magic Workshop</t>
        </is>
      </c>
      <c r="B60" s="5" t="inlineStr">
        <is>
          <t>Magic</t>
        </is>
      </c>
      <c r="C60" s="5" t="n">
        <v>8</v>
      </c>
      <c r="D60" s="5" t="n">
        <v>10</v>
      </c>
      <c r="E60" s="5" t="inlineStr">
        <is>
          <t>—</t>
        </is>
      </c>
      <c r="F60" s="5" t="inlineStr">
        <is>
          <t>—</t>
        </is>
      </c>
      <c r="G60" s="5" t="inlineStr">
        <is>
          <t>—</t>
        </is>
      </c>
      <c r="H60" s="5" t="inlineStr">
        <is>
          <t>Magic 2</t>
        </is>
      </c>
      <c r="I60" s="5" t="inlineStr">
        <is>
          <t>Special</t>
        </is>
      </c>
      <c r="J60" s="5" t="inlineStr">
        <is>
          <t>Reduces cost of Magic assets here by 1 (min 1) and stores 2 Treasure.</t>
        </is>
      </c>
    </row>
    <row r="61">
      <c r="A61" s="6" t="inlineStr">
        <is>
          <t>Bound Spirit</t>
        </is>
      </c>
      <c r="B61" s="6" t="inlineStr">
        <is>
          <t>Magic</t>
        </is>
      </c>
      <c r="C61" s="6" t="n">
        <v>8</v>
      </c>
      <c r="D61" s="6" t="n">
        <v>12</v>
      </c>
      <c r="E61" s="6" t="inlineStr">
        <is>
          <t>M vs F</t>
        </is>
      </c>
      <c r="F61" s="6" t="inlineStr">
        <is>
          <t>1d8</t>
        </is>
      </c>
      <c r="G61" s="6" t="inlineStr">
        <is>
          <t>1d6</t>
        </is>
      </c>
      <c r="H61" s="6" t="inlineStr">
        <is>
          <t>Magic 3</t>
        </is>
      </c>
      <c r="I61" s="6" t="inlineStr">
        <is>
          <t>—</t>
        </is>
      </c>
      <c r="J61" s="6" t="inlineStr">
        <is>
          <t>Servitor entity; resilient and obedient.</t>
        </is>
      </c>
    </row>
    <row r="62">
      <c r="A62" s="5" t="inlineStr">
        <is>
          <t>Demonologists</t>
        </is>
      </c>
      <c r="B62" s="5" t="inlineStr">
        <is>
          <t>Magic</t>
        </is>
      </c>
      <c r="C62" s="5" t="n">
        <v>10</v>
      </c>
      <c r="D62" s="5" t="n">
        <v>8</v>
      </c>
      <c r="E62" s="5" t="inlineStr">
        <is>
          <t>M vs M</t>
        </is>
      </c>
      <c r="F62" s="5" t="inlineStr">
        <is>
          <t>1d10</t>
        </is>
      </c>
      <c r="G62" s="5" t="inlineStr">
        <is>
          <t>1d4</t>
        </is>
      </c>
      <c r="H62" s="5" t="inlineStr">
        <is>
          <t>Magic 3</t>
        </is>
      </c>
      <c r="I62" s="5" t="inlineStr">
        <is>
          <t>Subtle</t>
        </is>
      </c>
      <c r="J62" s="5" t="inlineStr">
        <is>
          <t>Pact-bound summoners. Once per turn deal 1d6 damage at distance.</t>
        </is>
      </c>
    </row>
    <row r="63">
      <c r="A63" s="6" t="inlineStr">
        <is>
          <t>Adept Order</t>
        </is>
      </c>
      <c r="B63" s="6" t="inlineStr">
        <is>
          <t>Magic</t>
        </is>
      </c>
      <c r="C63" s="6" t="n">
        <v>12</v>
      </c>
      <c r="D63" s="6" t="n">
        <v>12</v>
      </c>
      <c r="E63" s="6" t="inlineStr">
        <is>
          <t>M vs M</t>
        </is>
      </c>
      <c r="F63" s="6" t="inlineStr">
        <is>
          <t>1d10</t>
        </is>
      </c>
      <c r="G63" s="6" t="inlineStr">
        <is>
          <t>1d6</t>
        </is>
      </c>
      <c r="H63" s="6" t="inlineStr">
        <is>
          <t>Magic 4</t>
        </is>
      </c>
      <c r="I63" s="6" t="inlineStr">
        <is>
          <t>—</t>
        </is>
      </c>
      <c r="J63" s="6" t="inlineStr">
        <is>
          <t>Formal magical school; tutors next generations of casters.</t>
        </is>
      </c>
    </row>
    <row r="64">
      <c r="A64" s="5" t="inlineStr">
        <is>
          <t>Wonderworker</t>
        </is>
      </c>
      <c r="B64" s="5" t="inlineStr">
        <is>
          <t>Magic</t>
        </is>
      </c>
      <c r="C64" s="5" t="n">
        <v>16</v>
      </c>
      <c r="D64" s="5" t="n">
        <v>14</v>
      </c>
      <c r="E64" s="5" t="inlineStr">
        <is>
          <t>M vs M</t>
        </is>
      </c>
      <c r="F64" s="5" t="inlineStr">
        <is>
          <t>2d6</t>
        </is>
      </c>
      <c r="G64" s="5" t="inlineStr">
        <is>
          <t>1d8</t>
        </is>
      </c>
      <c r="H64" s="5" t="inlineStr">
        <is>
          <t>Magic 5</t>
        </is>
      </c>
      <c r="I64" s="5" t="inlineStr">
        <is>
          <t>Special</t>
        </is>
      </c>
      <c r="J64" s="5" t="inlineStr">
        <is>
          <t>Singular master-mage. Once per turn cast a Heal Damage (4 HP) for free.</t>
        </is>
      </c>
    </row>
    <row r="65">
      <c r="A65" s="6" t="inlineStr">
        <is>
          <t>Death Cult</t>
        </is>
      </c>
      <c r="B65" s="6" t="inlineStr">
        <is>
          <t>Magic</t>
        </is>
      </c>
      <c r="C65" s="6" t="n">
        <v>6</v>
      </c>
      <c r="D65" s="6" t="n">
        <v>8</v>
      </c>
      <c r="E65" s="6" t="inlineStr">
        <is>
          <t>M vs C</t>
        </is>
      </c>
      <c r="F65" s="6" t="inlineStr">
        <is>
          <t>1d6</t>
        </is>
      </c>
      <c r="G65" s="6" t="inlineStr">
        <is>
          <t>1d4</t>
        </is>
      </c>
      <c r="H65" s="6" t="inlineStr">
        <is>
          <t>Magic 2</t>
        </is>
      </c>
      <c r="I65" s="6" t="inlineStr">
        <is>
          <t>Subtle</t>
        </is>
      </c>
      <c r="J65" s="6" t="inlineStr">
        <is>
          <t>Death-magic cell; gains 1 Treasure each time an asset is destroyed in the location.</t>
        </is>
      </c>
    </row>
    <row r="66">
      <c r="A66" s="5" t="inlineStr">
        <is>
          <t>Living Idol</t>
        </is>
      </c>
      <c r="B66" s="5" t="inlineStr">
        <is>
          <t>Magic</t>
        </is>
      </c>
      <c r="C66" s="5" t="n">
        <v>10</v>
      </c>
      <c r="D66" s="5" t="n">
        <v>14</v>
      </c>
      <c r="E66" s="5" t="inlineStr">
        <is>
          <t>M vs M</t>
        </is>
      </c>
      <c r="F66" s="5" t="inlineStr">
        <is>
          <t>1d8</t>
        </is>
      </c>
      <c r="G66" s="5" t="inlineStr">
        <is>
          <t>1d6</t>
        </is>
      </c>
      <c r="H66" s="5" t="inlineStr">
        <is>
          <t>Magic 3</t>
        </is>
      </c>
      <c r="I66" s="5" t="inlineStr">
        <is>
          <t>Special</t>
        </is>
      </c>
      <c r="J66" s="5" t="inlineStr">
        <is>
          <t>Animated cult-focus. Heals 1 HP per turn while in a location with a Cult Network.</t>
        </is>
      </c>
    </row>
    <row r="68" ht="19" customHeight="1">
      <c r="A68" s="2" t="inlineStr">
        <is>
          <t>Setting Assets — Veins of the Earth (Force)</t>
        </is>
      </c>
    </row>
    <row r="69" ht="28" customHeight="1">
      <c r="A69" s="4" t="inlineStr">
        <is>
          <t>Asset</t>
        </is>
      </c>
      <c r="B69" s="4" t="inlineStr">
        <is>
          <t>Type</t>
        </is>
      </c>
      <c r="C69" s="4" t="inlineStr">
        <is>
          <t>Cost</t>
        </is>
      </c>
      <c r="D69" s="4" t="inlineStr">
        <is>
          <t>HP</t>
        </is>
      </c>
      <c r="E69" s="4" t="inlineStr">
        <is>
          <t>Attack (Atk vs Def)</t>
        </is>
      </c>
      <c r="F69" s="4" t="inlineStr">
        <is>
          <t>Damage</t>
        </is>
      </c>
      <c r="G69" s="4" t="inlineStr">
        <is>
          <t>Counter</t>
        </is>
      </c>
      <c r="H69" s="4" t="inlineStr">
        <is>
          <t>Min Attr</t>
        </is>
      </c>
      <c r="I69" s="4" t="inlineStr">
        <is>
          <t>Traits</t>
        </is>
      </c>
      <c r="J69" s="4" t="inlineStr">
        <is>
          <t>Notes / Special</t>
        </is>
      </c>
    </row>
    <row r="70">
      <c r="A70" s="5" t="inlineStr">
        <is>
          <t>Tunnel Crawlers</t>
        </is>
      </c>
      <c r="B70" s="5" t="inlineStr">
        <is>
          <t>Force</t>
        </is>
      </c>
      <c r="C70" s="5" t="n">
        <v>3</v>
      </c>
      <c r="D70" s="5" t="n">
        <v>6</v>
      </c>
      <c r="E70" s="5" t="inlineStr">
        <is>
          <t>F vs F</t>
        </is>
      </c>
      <c r="F70" s="5" t="inlineStr">
        <is>
          <t>1d6</t>
        </is>
      </c>
      <c r="G70" s="5" t="inlineStr">
        <is>
          <t>1d4</t>
        </is>
      </c>
      <c r="H70" s="5" t="inlineStr">
        <is>
          <t>Force 2</t>
        </is>
      </c>
      <c r="I70" s="5" t="inlineStr">
        <is>
          <t>Mobile</t>
        </is>
      </c>
      <c r="J70" s="5" t="inlineStr">
        <is>
          <t>Light infantry trained for narrow ways; Move cost ignored within the Veins.</t>
        </is>
      </c>
    </row>
    <row r="71">
      <c r="A71" s="6" t="inlineStr">
        <is>
          <t>Lantern Wardens</t>
        </is>
      </c>
      <c r="B71" s="6" t="inlineStr">
        <is>
          <t>Force</t>
        </is>
      </c>
      <c r="C71" s="6" t="n">
        <v>5</v>
      </c>
      <c r="D71" s="6" t="n">
        <v>8</v>
      </c>
      <c r="E71" s="6" t="inlineStr">
        <is>
          <t>F vs M</t>
        </is>
      </c>
      <c r="F71" s="6" t="inlineStr">
        <is>
          <t>1d8</t>
        </is>
      </c>
      <c r="G71" s="6" t="inlineStr">
        <is>
          <t>1d4</t>
        </is>
      </c>
      <c r="H71" s="6" t="inlineStr">
        <is>
          <t>Force 3</t>
        </is>
      </c>
      <c r="I71" s="6" t="inlineStr">
        <is>
          <t>Special</t>
        </is>
      </c>
      <c r="J71" s="6" t="inlineStr">
        <is>
          <t>Gnonmen heavy-light bearers. While present, rival Magic and Stealthed attacks in this location are at -1 to the roll.</t>
        </is>
      </c>
    </row>
    <row r="72">
      <c r="A72" s="5" t="inlineStr">
        <is>
          <t>Stone-Eaters</t>
        </is>
      </c>
      <c r="B72" s="5" t="inlineStr">
        <is>
          <t>Force</t>
        </is>
      </c>
      <c r="C72" s="5" t="n">
        <v>8</v>
      </c>
      <c r="D72" s="5" t="n">
        <v>14</v>
      </c>
      <c r="E72" s="5" t="inlineStr">
        <is>
          <t>F vs F</t>
        </is>
      </c>
      <c r="F72" s="5" t="inlineStr">
        <is>
          <t>1d10</t>
        </is>
      </c>
      <c r="G72" s="5" t="inlineStr">
        <is>
          <t>1d8</t>
        </is>
      </c>
      <c r="H72" s="5" t="inlineStr">
        <is>
          <t>Force 4, Magic 2</t>
        </is>
      </c>
      <c r="I72" s="5" t="inlineStr">
        <is>
          <t>Special</t>
        </is>
      </c>
      <c r="J72" s="5" t="inlineStr">
        <is>
          <t>Substratal close-order elementals. Halve all damage from non-Magic attacks.</t>
        </is>
      </c>
    </row>
    <row r="73">
      <c r="A73" s="6" t="inlineStr">
        <is>
          <t>Crystal Lancers</t>
        </is>
      </c>
      <c r="B73" s="6" t="inlineStr">
        <is>
          <t>Force</t>
        </is>
      </c>
      <c r="C73" s="6" t="n">
        <v>8</v>
      </c>
      <c r="D73" s="6" t="n">
        <v>8</v>
      </c>
      <c r="E73" s="6" t="inlineStr">
        <is>
          <t>F vs M</t>
        </is>
      </c>
      <c r="F73" s="6" t="inlineStr">
        <is>
          <t>1d10</t>
        </is>
      </c>
      <c r="G73" s="6" t="inlineStr">
        <is>
          <t>1d6</t>
        </is>
      </c>
      <c r="H73" s="6" t="inlineStr">
        <is>
          <t>Force 3, Magic 1</t>
        </is>
      </c>
      <c r="I73" s="6" t="inlineStr">
        <is>
          <t>Special</t>
        </is>
      </c>
      <c r="J73" s="6" t="inlineStr">
        <is>
          <t>dErO troops with crackling polearms. Double damage vs Magic assets.</t>
        </is>
      </c>
    </row>
    <row r="74">
      <c r="A74" s="5" t="inlineStr">
        <is>
          <t>Spore-Maddened Slaves</t>
        </is>
      </c>
      <c r="B74" s="5" t="inlineStr">
        <is>
          <t>Force</t>
        </is>
      </c>
      <c r="C74" s="5" t="n">
        <v>3</v>
      </c>
      <c r="D74" s="5" t="n">
        <v>8</v>
      </c>
      <c r="E74" s="5" t="inlineStr">
        <is>
          <t>F vs F</t>
        </is>
      </c>
      <c r="F74" s="5" t="inlineStr">
        <is>
          <t>1d6</t>
        </is>
      </c>
      <c r="G74" s="5" t="inlineStr">
        <is>
          <t>—</t>
        </is>
      </c>
      <c r="H74" s="5" t="inlineStr">
        <is>
          <t>Force 2</t>
        </is>
      </c>
      <c r="I74" s="5" t="inlineStr">
        <is>
          <t>Fanatic</t>
        </is>
      </c>
      <c r="J74" s="5" t="inlineStr">
        <is>
          <t>Funginid spore-controlled bodies. Cannot retreat and cannot be Healed.</t>
        </is>
      </c>
    </row>
    <row r="75">
      <c r="A75" s="6" t="inlineStr">
        <is>
          <t>Dream-Knights of the Black Glass Court</t>
        </is>
      </c>
      <c r="B75" s="6" t="inlineStr">
        <is>
          <t>Force</t>
        </is>
      </c>
      <c r="C75" s="6" t="n">
        <v>14</v>
      </c>
      <c r="D75" s="6" t="n">
        <v>16</v>
      </c>
      <c r="E75" s="6" t="inlineStr">
        <is>
          <t>F vs C</t>
        </is>
      </c>
      <c r="F75" s="6" t="inlineStr">
        <is>
          <t>2d6</t>
        </is>
      </c>
      <c r="G75" s="6" t="inlineStr">
        <is>
          <t>1d10</t>
        </is>
      </c>
      <c r="H75" s="6" t="inlineStr">
        <is>
          <t>Force 5, Magic 2</t>
        </is>
      </c>
      <c r="I75" s="6" t="inlineStr">
        <is>
          <t>—</t>
        </is>
      </c>
      <c r="J75" s="6" t="inlineStr">
        <is>
          <t>Aelf-Adal household champions. +1 to attack rolls vs locations under any Cult Network.</t>
        </is>
      </c>
    </row>
    <row r="77" ht="19" customHeight="1">
      <c r="A77" s="2" t="inlineStr">
        <is>
          <t>Setting Assets — Veins of the Earth (Cunning)</t>
        </is>
      </c>
    </row>
    <row r="78" ht="28" customHeight="1">
      <c r="A78" s="4" t="inlineStr">
        <is>
          <t>Asset</t>
        </is>
      </c>
      <c r="B78" s="4" t="inlineStr">
        <is>
          <t>Type</t>
        </is>
      </c>
      <c r="C78" s="4" t="inlineStr">
        <is>
          <t>Cost</t>
        </is>
      </c>
      <c r="D78" s="4" t="inlineStr">
        <is>
          <t>HP</t>
        </is>
      </c>
      <c r="E78" s="4" t="inlineStr">
        <is>
          <t>Attack (Atk vs Def)</t>
        </is>
      </c>
      <c r="F78" s="4" t="inlineStr">
        <is>
          <t>Damage</t>
        </is>
      </c>
      <c r="G78" s="4" t="inlineStr">
        <is>
          <t>Counter</t>
        </is>
      </c>
      <c r="H78" s="4" t="inlineStr">
        <is>
          <t>Min Attr</t>
        </is>
      </c>
      <c r="I78" s="4" t="inlineStr">
        <is>
          <t>Traits</t>
        </is>
      </c>
      <c r="J78" s="4" t="inlineStr">
        <is>
          <t>Notes / Special</t>
        </is>
      </c>
    </row>
    <row r="79">
      <c r="A79" s="5" t="inlineStr">
        <is>
          <t>Spore-Wreaths</t>
        </is>
      </c>
      <c r="B79" s="5" t="inlineStr">
        <is>
          <t>Cunning</t>
        </is>
      </c>
      <c r="C79" s="5" t="n">
        <v>4</v>
      </c>
      <c r="D79" s="5" t="n">
        <v>6</v>
      </c>
      <c r="E79" s="5" t="inlineStr">
        <is>
          <t>C vs C</t>
        </is>
      </c>
      <c r="F79" s="5" t="inlineStr">
        <is>
          <t>1d6</t>
        </is>
      </c>
      <c r="G79" s="5" t="inlineStr">
        <is>
          <t>—</t>
        </is>
      </c>
      <c r="H79" s="5" t="inlineStr">
        <is>
          <t>Cunning 2</t>
        </is>
      </c>
      <c r="I79" s="5" t="inlineStr">
        <is>
          <t>Stealthed, Subtle</t>
        </is>
      </c>
      <c r="J79" s="5" t="inlineStr">
        <is>
          <t>Funginid spy-mats. If destroyed in a location with another Funginid asset, re-roots at 1 HP next turn at no cost.</t>
        </is>
      </c>
    </row>
    <row r="80">
      <c r="A80" s="6" t="inlineStr">
        <is>
          <t>Lightless Cartographers</t>
        </is>
      </c>
      <c r="B80" s="6" t="inlineStr">
        <is>
          <t>Cunning</t>
        </is>
      </c>
      <c r="C80" s="6" t="n">
        <v>3</v>
      </c>
      <c r="D80" s="6" t="n">
        <v>4</v>
      </c>
      <c r="E80" s="6" t="inlineStr">
        <is>
          <t>C vs C</t>
        </is>
      </c>
      <c r="F80" s="6" t="inlineStr">
        <is>
          <t>1d4</t>
        </is>
      </c>
      <c r="G80" s="6" t="inlineStr">
        <is>
          <t>—</t>
        </is>
      </c>
      <c r="H80" s="6" t="inlineStr">
        <is>
          <t>Cunning 1</t>
        </is>
      </c>
      <c r="I80" s="6" t="inlineStr">
        <is>
          <t>Stealthed, Mobile</t>
        </is>
      </c>
      <c r="J80" s="6" t="inlineStr">
        <is>
          <t>Veins mapmakers. Once per turn, reveal one unexplored adjacent location to the owning faction.</t>
        </is>
      </c>
    </row>
    <row r="81">
      <c r="A81" s="5" t="inlineStr">
        <is>
          <t>Debt-Collectors</t>
        </is>
      </c>
      <c r="B81" s="5" t="inlineStr">
        <is>
          <t>Cunning</t>
        </is>
      </c>
      <c r="C81" s="5" t="n">
        <v>5</v>
      </c>
      <c r="D81" s="5" t="n">
        <v>6</v>
      </c>
      <c r="E81" s="5" t="inlineStr">
        <is>
          <t>C vs W</t>
        </is>
      </c>
      <c r="F81" s="5" t="inlineStr">
        <is>
          <t>1d8</t>
        </is>
      </c>
      <c r="G81" s="5" t="inlineStr">
        <is>
          <t>—</t>
        </is>
      </c>
      <c r="H81" s="5" t="inlineStr">
        <is>
          <t>Cunning 2, Magic 1</t>
        </is>
      </c>
      <c r="I81" s="5" t="inlineStr">
        <is>
          <t>Subtle</t>
        </is>
      </c>
      <c r="J81" s="5" t="inlineStr">
        <is>
          <t>Knotsmen with infernally binding scrolls. On a successful attack, owner gains 1 Treasure instead of (or in addition to) inflicting the last 2 damage.</t>
        </is>
      </c>
    </row>
    <row r="82">
      <c r="A82" s="6" t="inlineStr">
        <is>
          <t>Dream-Walkers</t>
        </is>
      </c>
      <c r="B82" s="6" t="inlineStr">
        <is>
          <t>Cunning</t>
        </is>
      </c>
      <c r="C82" s="6" t="n">
        <v>6</v>
      </c>
      <c r="D82" s="6" t="n">
        <v>6</v>
      </c>
      <c r="E82" s="6" t="inlineStr">
        <is>
          <t>C vs M</t>
        </is>
      </c>
      <c r="F82" s="6" t="inlineStr">
        <is>
          <t>1d8</t>
        </is>
      </c>
      <c r="G82" s="6" t="inlineStr">
        <is>
          <t>—</t>
        </is>
      </c>
      <c r="H82" s="6" t="inlineStr">
        <is>
          <t>Cunning 3, Magic 2</t>
        </is>
      </c>
      <c r="I82" s="6" t="inlineStr">
        <is>
          <t>Stealthed, Subtle</t>
        </is>
      </c>
      <c r="J82" s="6" t="inlineStr">
        <is>
          <t>Aelf-Adal subconscious infiltrators. May attack any asset in a location that contains a Cult Network, regardless of distance.</t>
        </is>
      </c>
    </row>
    <row r="83">
      <c r="A83" s="5" t="inlineStr">
        <is>
          <t>Olm Listeners</t>
        </is>
      </c>
      <c r="B83" s="5" t="inlineStr">
        <is>
          <t>Cunning</t>
        </is>
      </c>
      <c r="C83" s="5" t="n">
        <v>2</v>
      </c>
      <c r="D83" s="5" t="n">
        <v>4</v>
      </c>
      <c r="E83" s="5" t="inlineStr">
        <is>
          <t>C vs C</t>
        </is>
      </c>
      <c r="F83" s="5" t="inlineStr">
        <is>
          <t>1d6</t>
        </is>
      </c>
      <c r="G83" s="5" t="inlineStr">
        <is>
          <t>—</t>
        </is>
      </c>
      <c r="H83" s="5" t="inlineStr">
        <is>
          <t>Cunning 1</t>
        </is>
      </c>
      <c r="I83" s="5" t="inlineStr">
        <is>
          <t>Stealthed</t>
        </is>
      </c>
      <c r="J83" s="5" t="inlineStr">
        <is>
          <t>Silent amphibians pressed to wet stone. Free action: on 4+ on 1d6, learn one rival action declared this turn.</t>
        </is>
      </c>
    </row>
    <row r="84">
      <c r="A84" s="6" t="inlineStr">
        <is>
          <t>Janeen Aesthete-Spies</t>
        </is>
      </c>
      <c r="B84" s="6" t="inlineStr">
        <is>
          <t>Cunning</t>
        </is>
      </c>
      <c r="C84" s="6" t="n">
        <v>8</v>
      </c>
      <c r="D84" s="6" t="n">
        <v>8</v>
      </c>
      <c r="E84" s="6" t="inlineStr">
        <is>
          <t>C vs C</t>
        </is>
      </c>
      <c r="F84" s="6" t="inlineStr">
        <is>
          <t>1d10</t>
        </is>
      </c>
      <c r="G84" s="6" t="inlineStr">
        <is>
          <t>—</t>
        </is>
      </c>
      <c r="H84" s="6" t="inlineStr">
        <is>
          <t>Cunning 4, Magic 2</t>
        </is>
      </c>
      <c r="I84" s="6" t="inlineStr">
        <is>
          <t>Subtle</t>
        </is>
      </c>
      <c r="J84" s="6" t="inlineStr">
        <is>
          <t>Deep Janeen connoisseur-intelligencers. Each turn, reveal one tag of a rival faction (may also be used as polite blackmail).</t>
        </is>
      </c>
    </row>
    <row r="86" ht="19" customHeight="1">
      <c r="A86" s="2" t="inlineStr">
        <is>
          <t>Setting Assets — Veins of the Earth (Wealth)</t>
        </is>
      </c>
    </row>
    <row r="87" ht="28" customHeight="1">
      <c r="A87" s="4" t="inlineStr">
        <is>
          <t>Asset</t>
        </is>
      </c>
      <c r="B87" s="4" t="inlineStr">
        <is>
          <t>Type</t>
        </is>
      </c>
      <c r="C87" s="4" t="inlineStr">
        <is>
          <t>Cost</t>
        </is>
      </c>
      <c r="D87" s="4" t="inlineStr">
        <is>
          <t>HP</t>
        </is>
      </c>
      <c r="E87" s="4" t="inlineStr">
        <is>
          <t>Attack (Atk vs Def)</t>
        </is>
      </c>
      <c r="F87" s="4" t="inlineStr">
        <is>
          <t>Damage</t>
        </is>
      </c>
      <c r="G87" s="4" t="inlineStr">
        <is>
          <t>Counter</t>
        </is>
      </c>
      <c r="H87" s="4" t="inlineStr">
        <is>
          <t>Min Attr</t>
        </is>
      </c>
      <c r="I87" s="4" t="inlineStr">
        <is>
          <t>Traits</t>
        </is>
      </c>
      <c r="J87" s="4" t="inlineStr">
        <is>
          <t>Notes / Special</t>
        </is>
      </c>
    </row>
    <row r="88">
      <c r="A88" s="5" t="inlineStr">
        <is>
          <t>Mushroom Fields</t>
        </is>
      </c>
      <c r="B88" s="5" t="inlineStr">
        <is>
          <t>Wealth</t>
        </is>
      </c>
      <c r="C88" s="5" t="n">
        <v>2</v>
      </c>
      <c r="D88" s="5" t="n">
        <v>6</v>
      </c>
      <c r="E88" s="5" t="inlineStr">
        <is>
          <t>W vs W</t>
        </is>
      </c>
      <c r="F88" s="5" t="inlineStr">
        <is>
          <t>1d4</t>
        </is>
      </c>
      <c r="G88" s="5" t="inlineStr">
        <is>
          <t>1d4</t>
        </is>
      </c>
      <c r="H88" s="5" t="inlineStr">
        <is>
          <t>Wealth 2</t>
        </is>
      </c>
      <c r="I88" s="5" t="inlineStr">
        <is>
          <t>Special</t>
        </is>
      </c>
      <c r="J88" s="5" t="inlineStr">
        <is>
          <t>Gnonmen subsistence cultivation. On 4+ on 1d6 at turn start, gain 1 Treasure. Any fire or scour attack deals +3 damage to this asset.</t>
        </is>
      </c>
    </row>
    <row r="89">
      <c r="A89" s="6" t="inlineStr">
        <is>
          <t>Pact-Vaults</t>
        </is>
      </c>
      <c r="B89" s="6" t="inlineStr">
        <is>
          <t>Wealth</t>
        </is>
      </c>
      <c r="C89" s="6" t="n">
        <v>10</v>
      </c>
      <c r="D89" s="6" t="n">
        <v>10</v>
      </c>
      <c r="E89" s="6" t="inlineStr">
        <is>
          <t>W vs W</t>
        </is>
      </c>
      <c r="F89" s="6" t="inlineStr">
        <is>
          <t>1d8</t>
        </is>
      </c>
      <c r="G89" s="6" t="inlineStr">
        <is>
          <t>1d4</t>
        </is>
      </c>
      <c r="H89" s="6" t="inlineStr">
        <is>
          <t>Wealth 4, Magic 1</t>
        </is>
      </c>
      <c r="I89" s="6" t="inlineStr">
        <is>
          <t>Special</t>
        </is>
      </c>
      <c r="J89" s="6" t="inlineStr">
        <is>
          <t>Knotsmen infernal banking. Stockpiles up to 6 Treasure. If destroyed, the stored Treasure is lost AND the attacker's nearest Wealth asset takes 2d6 damage from vengeful contract-fiends.</t>
        </is>
      </c>
    </row>
    <row r="90">
      <c r="A90" s="5" t="inlineStr">
        <is>
          <t>Crystal Mines</t>
        </is>
      </c>
      <c r="B90" s="5" t="inlineStr">
        <is>
          <t>Wealth</t>
        </is>
      </c>
      <c r="C90" s="5" t="n">
        <v>6</v>
      </c>
      <c r="D90" s="5" t="n">
        <v>10</v>
      </c>
      <c r="E90" s="5" t="inlineStr">
        <is>
          <t>W vs F</t>
        </is>
      </c>
      <c r="F90" s="5" t="inlineStr">
        <is>
          <t>1d6</t>
        </is>
      </c>
      <c r="G90" s="5" t="inlineStr">
        <is>
          <t>1d6</t>
        </is>
      </c>
      <c r="H90" s="5" t="inlineStr">
        <is>
          <t>Wealth 3, Magic 1</t>
        </is>
      </c>
      <c r="I90" s="5" t="inlineStr">
        <is>
          <t>Special</t>
        </is>
      </c>
      <c r="J90" s="5" t="inlineStr">
        <is>
          <t>dErO industrial workings. +1 Treasure per turn; reduces the Cost of Magic assets built at this location by 1 (min 1).</t>
        </is>
      </c>
    </row>
    <row r="91">
      <c r="A91" s="6" t="inlineStr">
        <is>
          <t>Maze-Toll</t>
        </is>
      </c>
      <c r="B91" s="6" t="inlineStr">
        <is>
          <t>Wealth</t>
        </is>
      </c>
      <c r="C91" s="6" t="n">
        <v>8</v>
      </c>
      <c r="D91" s="6" t="n">
        <v>10</v>
      </c>
      <c r="E91" s="6" t="inlineStr">
        <is>
          <t>W vs M</t>
        </is>
      </c>
      <c r="F91" s="6" t="inlineStr">
        <is>
          <t>1d6</t>
        </is>
      </c>
      <c r="G91" s="6" t="inlineStr">
        <is>
          <t>—</t>
        </is>
      </c>
      <c r="H91" s="6" t="inlineStr">
        <is>
          <t>Wealth 4, Magic 3</t>
        </is>
      </c>
      <c r="I91" s="6" t="inlineStr">
        <is>
          <t>Special</t>
        </is>
      </c>
      <c r="J91" s="6" t="inlineStr">
        <is>
          <t>Deep Janeen labyrinth-entry. +2 Treasure per turn while undisturbed; collapses (asset destroyed) if any rival Magic asset enters the location.</t>
        </is>
      </c>
    </row>
    <row r="92">
      <c r="A92" s="5" t="inlineStr">
        <is>
          <t>Hidden Larder</t>
        </is>
      </c>
      <c r="B92" s="5" t="inlineStr">
        <is>
          <t>Wealth</t>
        </is>
      </c>
      <c r="C92" s="5" t="n">
        <v>2</v>
      </c>
      <c r="D92" s="5" t="n">
        <v>4</v>
      </c>
      <c r="E92" s="5" t="inlineStr">
        <is>
          <t>—</t>
        </is>
      </c>
      <c r="F92" s="5" t="inlineStr">
        <is>
          <t>—</t>
        </is>
      </c>
      <c r="G92" s="5" t="inlineStr">
        <is>
          <t>—</t>
        </is>
      </c>
      <c r="H92" s="5" t="inlineStr">
        <is>
          <t>Wealth 1</t>
        </is>
      </c>
      <c r="I92" s="5" t="inlineStr">
        <is>
          <t>Stealthed, Special</t>
        </is>
      </c>
      <c r="J92" s="5" t="inlineStr">
        <is>
          <t>Olm food caches squirreled into wet stone. Spend 1 Treasure as a free action to bring one of your destroyed non-Magic 1-cost assets back at 1 HP in this location.</t>
        </is>
      </c>
    </row>
    <row r="93">
      <c r="A93" s="6" t="inlineStr">
        <is>
          <t>Substratal Tribute Stones</t>
        </is>
      </c>
      <c r="B93" s="6" t="inlineStr">
        <is>
          <t>Wealth</t>
        </is>
      </c>
      <c r="C93" s="6" t="n">
        <v>6</v>
      </c>
      <c r="D93" s="6" t="n">
        <v>10</v>
      </c>
      <c r="E93" s="6" t="inlineStr">
        <is>
          <t>—</t>
        </is>
      </c>
      <c r="F93" s="6" t="inlineStr">
        <is>
          <t>—</t>
        </is>
      </c>
      <c r="G93" s="6" t="inlineStr">
        <is>
          <t>—</t>
        </is>
      </c>
      <c r="H93" s="6" t="inlineStr">
        <is>
          <t>Wealth 3, Magic 2</t>
        </is>
      </c>
      <c r="I93" s="6" t="inlineStr">
        <is>
          <t>Special</t>
        </is>
      </c>
      <c r="J93" s="6" t="inlineStr">
        <is>
          <t>Geomantic tax-pillars. Generates +1 Treasure per turn for every Magic asset that shares this location, including rivals'.</t>
        </is>
      </c>
    </row>
    <row r="95" ht="19" customHeight="1">
      <c r="A95" s="2" t="inlineStr">
        <is>
          <t>Setting Assets — Veins of the Earth (Magic)</t>
        </is>
      </c>
    </row>
    <row r="96" ht="28" customHeight="1">
      <c r="A96" s="4" t="inlineStr">
        <is>
          <t>Asset</t>
        </is>
      </c>
      <c r="B96" s="4" t="inlineStr">
        <is>
          <t>Type</t>
        </is>
      </c>
      <c r="C96" s="4" t="inlineStr">
        <is>
          <t>Cost</t>
        </is>
      </c>
      <c r="D96" s="4" t="inlineStr">
        <is>
          <t>HP</t>
        </is>
      </c>
      <c r="E96" s="4" t="inlineStr">
        <is>
          <t>Attack (Atk vs Def)</t>
        </is>
      </c>
      <c r="F96" s="4" t="inlineStr">
        <is>
          <t>Damage</t>
        </is>
      </c>
      <c r="G96" s="4" t="inlineStr">
        <is>
          <t>Counter</t>
        </is>
      </c>
      <c r="H96" s="4" t="inlineStr">
        <is>
          <t>Min Attr</t>
        </is>
      </c>
      <c r="I96" s="4" t="inlineStr">
        <is>
          <t>Traits</t>
        </is>
      </c>
      <c r="J96" s="4" t="inlineStr">
        <is>
          <t>Notes / Special</t>
        </is>
      </c>
    </row>
    <row r="97">
      <c r="A97" s="5" t="inlineStr">
        <is>
          <t>Spore-Cathedral Choir</t>
        </is>
      </c>
      <c r="B97" s="5" t="inlineStr">
        <is>
          <t>Magic</t>
        </is>
      </c>
      <c r="C97" s="5" t="n">
        <v>8</v>
      </c>
      <c r="D97" s="5" t="n">
        <v>10</v>
      </c>
      <c r="E97" s="5" t="inlineStr">
        <is>
          <t>M vs M</t>
        </is>
      </c>
      <c r="F97" s="5" t="inlineStr">
        <is>
          <t>1d8</t>
        </is>
      </c>
      <c r="G97" s="5" t="inlineStr">
        <is>
          <t>1d6</t>
        </is>
      </c>
      <c r="H97" s="5" t="inlineStr">
        <is>
          <t>Magic 3</t>
        </is>
      </c>
      <c r="I97" s="5" t="inlineStr">
        <is>
          <t>Special</t>
        </is>
      </c>
      <c r="J97" s="5" t="inlineStr">
        <is>
          <t>Funginid ritualists. At start of each turn, heal 1 HP to every Funginid Cunning asset in this location.</t>
        </is>
      </c>
    </row>
    <row r="98">
      <c r="A98" s="6" t="inlineStr">
        <is>
          <t>Dream Anchor</t>
        </is>
      </c>
      <c r="B98" s="6" t="inlineStr">
        <is>
          <t>Magic</t>
        </is>
      </c>
      <c r="C98" s="6" t="n">
        <v>10</v>
      </c>
      <c r="D98" s="6" t="n">
        <v>14</v>
      </c>
      <c r="E98" s="6" t="inlineStr">
        <is>
          <t>M vs M</t>
        </is>
      </c>
      <c r="F98" s="6" t="inlineStr">
        <is>
          <t>1d6</t>
        </is>
      </c>
      <c r="G98" s="6" t="inlineStr">
        <is>
          <t>1d8</t>
        </is>
      </c>
      <c r="H98" s="6" t="inlineStr">
        <is>
          <t>Magic 4</t>
        </is>
      </c>
      <c r="I98" s="6" t="inlineStr">
        <is>
          <t>Special</t>
        </is>
      </c>
      <c r="J98" s="6" t="inlineStr">
        <is>
          <t>Aelf-Adal sleeping-relic. Rival Magic actions in this location cost +1 Treasure.</t>
        </is>
      </c>
    </row>
    <row r="99">
      <c r="A99" s="5" t="inlineStr">
        <is>
          <t>Demonic Notary</t>
        </is>
      </c>
      <c r="B99" s="5" t="inlineStr">
        <is>
          <t>Magic</t>
        </is>
      </c>
      <c r="C99" s="5" t="n">
        <v>12</v>
      </c>
      <c r="D99" s="5" t="n">
        <v>10</v>
      </c>
      <c r="E99" s="5" t="inlineStr">
        <is>
          <t>M vs M</t>
        </is>
      </c>
      <c r="F99" s="5" t="inlineStr">
        <is>
          <t>1d10</t>
        </is>
      </c>
      <c r="G99" s="5" t="inlineStr">
        <is>
          <t>1d6</t>
        </is>
      </c>
      <c r="H99" s="5" t="inlineStr">
        <is>
          <t>Magic 3</t>
        </is>
      </c>
      <c r="I99" s="5" t="inlineStr">
        <is>
          <t>Subtle, Special</t>
        </is>
      </c>
      <c r="J99" s="5" t="inlineStr">
        <is>
          <t>Knotsmen pact-fiend. Once per turn, force any rival to pay 1 Treasure or cancel an action declared against your faction.</t>
        </is>
      </c>
    </row>
    <row r="100">
      <c r="A100" s="6" t="inlineStr">
        <is>
          <t>Hearth-Lantern Shrine</t>
        </is>
      </c>
      <c r="B100" s="6" t="inlineStr">
        <is>
          <t>Magic</t>
        </is>
      </c>
      <c r="C100" s="6" t="n">
        <v>5</v>
      </c>
      <c r="D100" s="6" t="n">
        <v>8</v>
      </c>
      <c r="E100" s="6" t="inlineStr">
        <is>
          <t>M vs M</t>
        </is>
      </c>
      <c r="F100" s="6" t="inlineStr">
        <is>
          <t>1d6</t>
        </is>
      </c>
      <c r="G100" s="6" t="inlineStr">
        <is>
          <t>1d4</t>
        </is>
      </c>
      <c r="H100" s="6" t="inlineStr">
        <is>
          <t>Magic 2</t>
        </is>
      </c>
      <c r="I100" s="6" t="inlineStr">
        <is>
          <t>Special</t>
        </is>
      </c>
      <c r="J100" s="6" t="inlineStr">
        <is>
          <t>Gnonmen warding-light. Stealthed assets in this location are revealed automatically; the light does not permit hiding.</t>
        </is>
      </c>
    </row>
    <row r="101">
      <c r="A101" s="5" t="inlineStr">
        <is>
          <t>Stone-Voice Oracle</t>
        </is>
      </c>
      <c r="B101" s="5" t="inlineStr">
        <is>
          <t>Magic</t>
        </is>
      </c>
      <c r="C101" s="5" t="n">
        <v>10</v>
      </c>
      <c r="D101" s="5" t="n">
        <v>14</v>
      </c>
      <c r="E101" s="5" t="inlineStr">
        <is>
          <t>M vs M</t>
        </is>
      </c>
      <c r="F101" s="5" t="inlineStr">
        <is>
          <t>1d8</t>
        </is>
      </c>
      <c r="G101" s="5" t="inlineStr">
        <is>
          <t>1d8</t>
        </is>
      </c>
      <c r="H101" s="5" t="inlineStr">
        <is>
          <t>Magic 4</t>
        </is>
      </c>
      <c r="I101" s="5" t="inlineStr">
        <is>
          <t>Special</t>
        </is>
      </c>
      <c r="J101" s="5" t="inlineStr">
        <is>
          <t>Substratal seer-elemental. At start of each turn, the owner may force one rival to declare their action before declaring their own.</t>
        </is>
      </c>
    </row>
    <row r="102">
      <c r="A102" s="6" t="inlineStr">
        <is>
          <t>Olm Anatomist</t>
        </is>
      </c>
      <c r="B102" s="6" t="inlineStr">
        <is>
          <t>Magic</t>
        </is>
      </c>
      <c r="C102" s="6" t="n">
        <v>8</v>
      </c>
      <c r="D102" s="6" t="n">
        <v>8</v>
      </c>
      <c r="E102" s="6" t="inlineStr">
        <is>
          <t>M vs F</t>
        </is>
      </c>
      <c r="F102" s="6" t="inlineStr">
        <is>
          <t>2d4</t>
        </is>
      </c>
      <c r="G102" s="6" t="inlineStr">
        <is>
          <t>—</t>
        </is>
      </c>
      <c r="H102" s="6" t="inlineStr">
        <is>
          <t>Magic 3</t>
        </is>
      </c>
      <c r="I102" s="6" t="inlineStr">
        <is>
          <t>Stealthed, Special</t>
        </is>
      </c>
      <c r="J102" s="6" t="inlineStr">
        <is>
          <t>Knower of unmaking-shapes. Deals double damage to any asset with HP 6 or less.</t>
        </is>
      </c>
    </row>
  </sheetData>
  <mergeCells count="9">
    <mergeCell ref="A1:J1"/>
    <mergeCell ref="A37:J37"/>
    <mergeCell ref="A3:J3"/>
    <mergeCell ref="A21:J21"/>
    <mergeCell ref="A77:J77"/>
    <mergeCell ref="A95:J95"/>
    <mergeCell ref="A54:J54"/>
    <mergeCell ref="A86:J86"/>
    <mergeCell ref="A68:J68"/>
  </mergeCells>
  <pageMargins left="0.75" right="0.75" top="1" bottom="1" header="0.5" footer="0.5"/>
</worksheet>
</file>

<file path=xl/worksheets/sheet5.xml><?xml version="1.0" encoding="utf-8"?>
<worksheet xmlns="http://schemas.openxmlformats.org/spreadsheetml/2006/main">
  <sheetPr>
    <tabColor rgb="003E5377"/>
    <outlinePr summaryBelow="1" summaryRight="1"/>
    <pageSetUpPr/>
  </sheetPr>
  <dimension ref="A1:B28"/>
  <sheetViews>
    <sheetView workbookViewId="0">
      <selection activeCell="A1" sqref="A1"/>
    </sheetView>
  </sheetViews>
  <sheetFormatPr baseColWidth="8" defaultRowHeight="15"/>
  <cols>
    <col width="30" customWidth="1" min="1" max="1"/>
    <col width="100" customWidth="1" min="2" max="2"/>
  </cols>
  <sheetData>
    <row r="1" ht="24" customHeight="1">
      <c r="A1" s="1" t="inlineStr">
        <is>
          <t>Faction Tags</t>
        </is>
      </c>
    </row>
    <row r="3" ht="28" customHeight="1">
      <c r="A3" s="4" t="inlineStr">
        <is>
          <t>Tag</t>
        </is>
      </c>
      <c r="B3" s="4" t="inlineStr">
        <is>
          <t>Effect</t>
        </is>
      </c>
    </row>
    <row r="4">
      <c r="A4" s="5" t="inlineStr">
        <is>
          <t>Antimagical</t>
        </is>
      </c>
      <c r="B4" s="5" t="inlineStr">
        <is>
          <t>Magic attacks against this faction's assets are made at –2 to the roll. May not own Magic assets.</t>
        </is>
      </c>
    </row>
    <row r="5">
      <c r="A5" s="6" t="inlineStr">
        <is>
          <t>Concordat</t>
        </is>
      </c>
      <c r="B5" s="6" t="inlineStr">
        <is>
          <t>Faction has long-standing treaties; gains +1 Treasure for every other faction it has not attacked in the last 4 turns.</t>
        </is>
      </c>
    </row>
    <row r="6">
      <c r="A6" s="5" t="inlineStr">
        <is>
          <t>Cult of Personality</t>
        </is>
      </c>
      <c r="B6" s="5" t="inlineStr">
        <is>
          <t>Faction's leader counts as a free Cunning 8 asset for purposes of resisting Cunning attacks while alive.</t>
        </is>
      </c>
    </row>
    <row r="7">
      <c r="A7" s="6" t="inlineStr">
        <is>
          <t>Eugenic Cult</t>
        </is>
      </c>
      <c r="B7" s="6" t="inlineStr">
        <is>
          <t>Once per turn, may sacrifice one 1-cost asset to add +1 to a different asset's HP permanently.</t>
        </is>
      </c>
    </row>
    <row r="8">
      <c r="A8" s="5" t="inlineStr">
        <is>
          <t>Fanatic</t>
        </is>
      </c>
      <c r="B8" s="5" t="inlineStr">
        <is>
          <t>All assets gain +1 damage on attacks but cannot retreat or be Healed mid-combat.</t>
        </is>
      </c>
    </row>
    <row r="9">
      <c r="A9" s="6" t="inlineStr">
        <is>
          <t>Imperialist</t>
        </is>
      </c>
      <c r="B9" s="6" t="inlineStr">
        <is>
          <t>Pays half cost (round up) for Expand Influence rolls.</t>
        </is>
      </c>
    </row>
    <row r="10">
      <c r="A10" s="5" t="inlineStr">
        <is>
          <t>Industrious</t>
        </is>
      </c>
      <c r="B10" s="5" t="inlineStr">
        <is>
          <t>Workshops, Smiths and Magic Workshops generate +1 additional Treasure per turn.</t>
        </is>
      </c>
    </row>
    <row r="11">
      <c r="A11" s="6" t="inlineStr">
        <is>
          <t>Innovative</t>
        </is>
      </c>
      <c r="B11" s="6" t="inlineStr">
        <is>
          <t>May create one asset with a special, GM-approved homebrew rule each Tier.</t>
        </is>
      </c>
    </row>
    <row r="12">
      <c r="A12" s="5" t="inlineStr">
        <is>
          <t>Mage-Killers</t>
        </is>
      </c>
      <c r="B12" s="5" t="inlineStr">
        <is>
          <t>All assets gain +2 damage vs Magic assets. May not own Magic assets.</t>
        </is>
      </c>
    </row>
    <row r="13">
      <c r="A13" s="6" t="inlineStr">
        <is>
          <t>Mercantile</t>
        </is>
      </c>
      <c r="B13" s="6" t="inlineStr">
        <is>
          <t>Gains +1 Treasure per turn for every Wealth asset above 3.</t>
        </is>
      </c>
    </row>
    <row r="14">
      <c r="A14" s="5" t="inlineStr">
        <is>
          <t>Pillagers</t>
        </is>
      </c>
      <c r="B14" s="5" t="inlineStr">
        <is>
          <t>Successful Attack actions also generate 1 Treasure (raid loot).</t>
        </is>
      </c>
    </row>
    <row r="15">
      <c r="A15" s="6" t="inlineStr">
        <is>
          <t>Plundering Horde</t>
        </is>
      </c>
      <c r="B15" s="6" t="inlineStr">
        <is>
          <t>All Force assets gain Mobile. Cannot own Wealth assets except Storehouses.</t>
        </is>
      </c>
    </row>
    <row r="16">
      <c r="A16" s="5" t="inlineStr">
        <is>
          <t>Preceptors</t>
        </is>
      </c>
      <c r="B16" s="5" t="inlineStr">
        <is>
          <t>Magic Workshops and Adept Orders cost 2 less to build.</t>
        </is>
      </c>
    </row>
    <row r="17">
      <c r="A17" s="6" t="inlineStr">
        <is>
          <t>Savage</t>
        </is>
      </c>
      <c r="B17" s="6" t="inlineStr">
        <is>
          <t>Force assets cost 1 less to create but cannot occupy locations with Markets, Banks, or Counting Houses.</t>
        </is>
      </c>
    </row>
    <row r="18">
      <c r="A18" s="5" t="inlineStr">
        <is>
          <t>Scavengers</t>
        </is>
      </c>
      <c r="B18" s="5" t="inlineStr">
        <is>
          <t>Once per turn may rebuild a destroyed asset of cost 4 or less for half its Cost.</t>
        </is>
      </c>
    </row>
    <row r="19">
      <c r="A19" s="6" t="inlineStr">
        <is>
          <t>Secretive</t>
        </is>
      </c>
      <c r="B19" s="6" t="inlineStr">
        <is>
          <t>Cunning assets start Stealthed automatically; rivals roll at –2 to detect them.</t>
        </is>
      </c>
    </row>
    <row r="20">
      <c r="A20" s="5" t="inlineStr">
        <is>
          <t>Skinwearers</t>
        </is>
      </c>
      <c r="B20" s="5" t="inlineStr">
        <is>
          <t>Once per turn the faction may have one defeated rival asset come back as one of its own assets of equal or lesser Cost (GM approval).</t>
        </is>
      </c>
    </row>
    <row r="21">
      <c r="A21" s="6" t="inlineStr">
        <is>
          <t>Theocracy</t>
        </is>
      </c>
      <c r="B21" s="6" t="inlineStr">
        <is>
          <t>Cult Networks and Magic assets cost 2 less. Magic assets gain +1 to defence rolls.</t>
        </is>
      </c>
    </row>
    <row r="22">
      <c r="A22" s="5" t="inlineStr">
        <is>
          <t>Tyrannical</t>
        </is>
      </c>
      <c r="B22" s="5" t="inlineStr">
        <is>
          <t>Force assets cost 1 less to upkeep, but assets generate –1 Treasure per turn from unrest.</t>
        </is>
      </c>
    </row>
    <row r="23">
      <c r="A23" s="6" t="inlineStr">
        <is>
          <t>Warlike</t>
        </is>
      </c>
      <c r="B23" s="6" t="inlineStr">
        <is>
          <t>Gains 1 free Faction XP each turn the faction performs an Attack action.</t>
        </is>
      </c>
    </row>
    <row r="24">
      <c r="A24" s="5" t="inlineStr">
        <is>
          <t>Xenophiles</t>
        </is>
      </c>
      <c r="B24" s="5" t="inlineStr">
        <is>
          <t>Diplomatic Exchange actions never cost Treasure and the faction gains +1 FacXP on completing trade goals.</t>
        </is>
      </c>
    </row>
    <row r="25">
      <c r="A25" s="6" t="inlineStr">
        <is>
          <t>Subterranean (homebrew, Veins-of-the-Earth)</t>
        </is>
      </c>
      <c r="B25" s="6" t="inlineStr">
        <is>
          <t>All assets ignore the first point of movement cost while inside the Veins / Underdark. Surface operations cost +1 Treasure.</t>
        </is>
      </c>
    </row>
    <row r="26">
      <c r="A26" s="5" t="inlineStr">
        <is>
          <t>Demon-Pacted (homebrew)</t>
        </is>
      </c>
      <c r="B26" s="5" t="inlineStr">
        <is>
          <t>Gain +1 Treasure per turn from infernal patronage. Lose 1 HP from a destroyed asset every time a contract is broken.</t>
        </is>
      </c>
    </row>
    <row r="27">
      <c r="A27" s="6" t="inlineStr">
        <is>
          <t>Dream-Born (homebrew)</t>
        </is>
      </c>
      <c r="B27" s="6" t="inlineStr">
        <is>
          <t>All assets are Stealthed by default while in the same location as a Cult Network. May not act on surface locations exposed to bright sunlight.</t>
        </is>
      </c>
    </row>
    <row r="28">
      <c r="A28" s="5" t="inlineStr">
        <is>
          <t>Hive-Mind (homebrew)</t>
        </is>
      </c>
      <c r="B28" s="5" t="inlineStr">
        <is>
          <t>Faction may transfer HP freely between its assets at the start of each turn.</t>
        </is>
      </c>
    </row>
  </sheetData>
  <mergeCells count="1">
    <mergeCell ref="A1:B1"/>
  </mergeCells>
  <pageMargins left="0.75" right="0.75" top="1" bottom="1" header="0.5" footer="0.5"/>
</worksheet>
</file>

<file path=xl/worksheets/sheet6.xml><?xml version="1.0" encoding="utf-8"?>
<worksheet xmlns="http://schemas.openxmlformats.org/spreadsheetml/2006/main">
  <sheetPr>
    <tabColor rgb="003E5377"/>
    <outlinePr summaryBelow="1" summaryRight="1"/>
    <pageSetUpPr/>
  </sheetPr>
  <dimension ref="A1:D19"/>
  <sheetViews>
    <sheetView workbookViewId="0">
      <selection activeCell="A1" sqref="A1"/>
    </sheetView>
  </sheetViews>
  <sheetFormatPr baseColWidth="8" defaultRowHeight="15"/>
  <cols>
    <col width="30" customWidth="1" min="1" max="1"/>
    <col width="18" customWidth="1" min="2" max="2"/>
    <col width="70" customWidth="1" min="3" max="3"/>
    <col width="14" customWidth="1" min="4" max="4"/>
  </cols>
  <sheetData>
    <row r="1" ht="24" customHeight="1">
      <c r="A1" s="1" t="inlineStr">
        <is>
          <t>Faction Goals &amp; XP</t>
        </is>
      </c>
    </row>
    <row r="3" ht="28" customHeight="1">
      <c r="A3" s="4" t="inlineStr">
        <is>
          <t>Goal</t>
        </is>
      </c>
      <c r="B3" s="4" t="inlineStr">
        <is>
          <t>Difficulty</t>
        </is>
      </c>
      <c r="C3" s="4" t="inlineStr">
        <is>
          <t>Description / Trigger</t>
        </is>
      </c>
      <c r="D3" s="4" t="inlineStr">
        <is>
          <t>XP Reward</t>
        </is>
      </c>
    </row>
    <row r="4">
      <c r="A4" s="5" t="inlineStr">
        <is>
          <t>Military Conquest</t>
        </is>
      </c>
      <c r="B4" s="5" t="inlineStr">
        <is>
          <t>Major</t>
        </is>
      </c>
      <c r="C4" s="5" t="inlineStr">
        <is>
          <t>Destroy or seize at least 4 enemy assets in a single Tier.</t>
        </is>
      </c>
      <c r="D4" s="5" t="inlineStr">
        <is>
          <t>2 FacXP</t>
        </is>
      </c>
    </row>
    <row r="5">
      <c r="A5" s="6" t="inlineStr">
        <is>
          <t>Commercial Expansion</t>
        </is>
      </c>
      <c r="B5" s="6" t="inlineStr">
        <is>
          <t>Minor</t>
        </is>
      </c>
      <c r="C5" s="6" t="inlineStr">
        <is>
          <t>Earn at least 8 Treasure income above your turn baseline over the Tier.</t>
        </is>
      </c>
      <c r="D5" s="6" t="inlineStr">
        <is>
          <t>1 FacXP</t>
        </is>
      </c>
    </row>
    <row r="6">
      <c r="A6" s="5" t="inlineStr">
        <is>
          <t>Inciting Incident</t>
        </is>
      </c>
      <c r="B6" s="5" t="inlineStr">
        <is>
          <t>Minor</t>
        </is>
      </c>
      <c r="C6" s="5" t="inlineStr">
        <is>
          <t>Successfully cause two factions you do not control to attack each other.</t>
        </is>
      </c>
      <c r="D6" s="5" t="inlineStr">
        <is>
          <t>1 FacXP</t>
        </is>
      </c>
    </row>
    <row r="7">
      <c r="A7" s="6" t="inlineStr">
        <is>
          <t>Internal Subversion</t>
        </is>
      </c>
      <c r="B7" s="6" t="inlineStr">
        <is>
          <t>Major</t>
        </is>
      </c>
      <c r="C7" s="6" t="inlineStr">
        <is>
          <t>Reduce a rival's Cunning or Wealth by 2 through Subtle actions.</t>
        </is>
      </c>
      <c r="D7" s="6" t="inlineStr">
        <is>
          <t>2 FacXP</t>
        </is>
      </c>
    </row>
    <row r="8">
      <c r="A8" s="5" t="inlineStr">
        <is>
          <t>Intrigue</t>
        </is>
      </c>
      <c r="B8" s="5" t="inlineStr">
        <is>
          <t>Minor</t>
        </is>
      </c>
      <c r="C8" s="5" t="inlineStr">
        <is>
          <t>Place at least one hidden asset inside every rival faction's home location.</t>
        </is>
      </c>
      <c r="D8" s="5" t="inlineStr">
        <is>
          <t>1 FacXP</t>
        </is>
      </c>
    </row>
    <row r="9">
      <c r="A9" s="6" t="inlineStr">
        <is>
          <t>Expand Influence</t>
        </is>
      </c>
      <c r="B9" s="6" t="inlineStr">
        <is>
          <t>Minor</t>
        </is>
      </c>
      <c r="C9" s="6" t="inlineStr">
        <is>
          <t>Gain 4 new locations within a Tier.</t>
        </is>
      </c>
      <c r="D9" s="6" t="inlineStr">
        <is>
          <t>1 FacXP</t>
        </is>
      </c>
    </row>
    <row r="10">
      <c r="A10" s="5" t="inlineStr">
        <is>
          <t>Invincible Valor</t>
        </is>
      </c>
      <c r="B10" s="5" t="inlineStr">
        <is>
          <t>Major</t>
        </is>
      </c>
      <c r="C10" s="5" t="inlineStr">
        <is>
          <t>Win an Attack against an asset whose Cost is at least twice your attacker's.</t>
        </is>
      </c>
      <c r="D10" s="5" t="inlineStr">
        <is>
          <t>2 FacXP</t>
        </is>
      </c>
    </row>
    <row r="11">
      <c r="A11" s="6" t="inlineStr">
        <is>
          <t>Destroy the Foe</t>
        </is>
      </c>
      <c r="B11" s="6" t="inlineStr">
        <is>
          <t>Major</t>
        </is>
      </c>
      <c r="C11" s="6" t="inlineStr">
        <is>
          <t>Reduce a rival faction's HP to 0 or to no assets.</t>
        </is>
      </c>
      <c r="D11" s="6" t="inlineStr">
        <is>
          <t>3 FacXP</t>
        </is>
      </c>
    </row>
    <row r="12">
      <c r="A12" s="5" t="inlineStr">
        <is>
          <t>Wealth of Worlds</t>
        </is>
      </c>
      <c r="B12" s="5" t="inlineStr">
        <is>
          <t>Major</t>
        </is>
      </c>
      <c r="C12" s="5" t="inlineStr">
        <is>
          <t>Reach a Wealth rating of 8 or hold 30+ banked Treasure.</t>
        </is>
      </c>
      <c r="D12" s="5" t="inlineStr">
        <is>
          <t>2 FacXP</t>
        </is>
      </c>
    </row>
    <row r="13">
      <c r="A13" s="6" t="inlineStr">
        <is>
          <t>Inside the Enemy</t>
        </is>
      </c>
      <c r="B13" s="6" t="inlineStr">
        <is>
          <t>Minor</t>
        </is>
      </c>
      <c r="C13" s="6" t="inlineStr">
        <is>
          <t>Maintain a hidden asset inside a rival faction's home location for 3 turns.</t>
        </is>
      </c>
      <c r="D13" s="6" t="inlineStr">
        <is>
          <t>1 FacXP</t>
        </is>
      </c>
    </row>
    <row r="14">
      <c r="A14" s="5" t="inlineStr">
        <is>
          <t>Peaceable Kingdom</t>
        </is>
      </c>
      <c r="B14" s="5" t="inlineStr">
        <is>
          <t>Minor</t>
        </is>
      </c>
      <c r="C14" s="5" t="inlineStr">
        <is>
          <t>End 3 consecutive turns without losing any assets or HP.</t>
        </is>
      </c>
      <c r="D14" s="5" t="inlineStr">
        <is>
          <t>1 FacXP</t>
        </is>
      </c>
    </row>
    <row r="15">
      <c r="A15" s="6" t="inlineStr">
        <is>
          <t>Religious Conversion</t>
        </is>
      </c>
      <c r="B15" s="6" t="inlineStr">
        <is>
          <t>Major</t>
        </is>
      </c>
      <c r="C15" s="6" t="inlineStr">
        <is>
          <t>Use Cult Network or Theocracy abilities to convert 3 rival assets.</t>
        </is>
      </c>
      <c r="D15" s="6" t="inlineStr">
        <is>
          <t>2 FacXP</t>
        </is>
      </c>
    </row>
    <row r="16">
      <c r="A16" s="5" t="inlineStr">
        <is>
          <t>Tech / Magic Expansion</t>
        </is>
      </c>
      <c r="B16" s="5" t="inlineStr">
        <is>
          <t>Major</t>
        </is>
      </c>
      <c r="C16" s="5" t="inlineStr">
        <is>
          <t>Reach Magic 4+ or own 6+ Magic assets.</t>
        </is>
      </c>
      <c r="D16" s="5" t="inlineStr">
        <is>
          <t>2 FacXP</t>
        </is>
      </c>
    </row>
    <row r="17">
      <c r="A17" s="6" t="inlineStr">
        <is>
          <t>Veins-Walker</t>
        </is>
      </c>
      <c r="B17" s="6" t="inlineStr">
        <is>
          <t>Minor (setting)</t>
        </is>
      </c>
      <c r="C17" s="6" t="inlineStr">
        <is>
          <t>Establish a permanent caravan path between two distant Veins regions.</t>
        </is>
      </c>
      <c r="D17" s="6" t="inlineStr">
        <is>
          <t>1 FacXP</t>
        </is>
      </c>
    </row>
    <row r="18">
      <c r="A18" s="5" t="inlineStr">
        <is>
          <t>Surface Strike</t>
        </is>
      </c>
      <c r="B18" s="5" t="inlineStr">
        <is>
          <t>Major (setting)</t>
        </is>
      </c>
      <c r="C18" s="5" t="inlineStr">
        <is>
          <t>Successfully launch and complete an operation against a surface faction.</t>
        </is>
      </c>
      <c r="D18" s="5" t="inlineStr">
        <is>
          <t>3 FacXP</t>
        </is>
      </c>
    </row>
    <row r="19">
      <c r="A19" s="6" t="inlineStr">
        <is>
          <t>Dream Disruption</t>
        </is>
      </c>
      <c r="B19" s="6" t="inlineStr">
        <is>
          <t>Major (setting)</t>
        </is>
      </c>
      <c r="C19" s="6" t="inlineStr">
        <is>
          <t>Prevent the Aelf-Adal from completing their own goal twice in a row.</t>
        </is>
      </c>
      <c r="D19" s="6" t="inlineStr">
        <is>
          <t>2 FacXP</t>
        </is>
      </c>
    </row>
  </sheetData>
  <mergeCells count="1">
    <mergeCell ref="A1:D1"/>
  </mergeCells>
  <pageMargins left="0.75" right="0.75" top="1" bottom="1" header="0.5" footer="0.5"/>
</worksheet>
</file>

<file path=xl/worksheets/sheet7.xml><?xml version="1.0" encoding="utf-8"?>
<worksheet xmlns="http://schemas.openxmlformats.org/spreadsheetml/2006/main">
  <sheetPr>
    <tabColor rgb="00C0504D"/>
    <outlinePr summaryBelow="1" summaryRight="1"/>
    <pageSetUpPr/>
  </sheetPr>
  <dimension ref="A1:D27"/>
  <sheetViews>
    <sheetView workbookViewId="0">
      <selection activeCell="A1" sqref="A1"/>
    </sheetView>
  </sheetViews>
  <sheetFormatPr baseColWidth="8" defaultRowHeight="15"/>
  <cols>
    <col width="36" customWidth="1" min="1" max="1"/>
    <col width="24" customWidth="1" min="2" max="2"/>
    <col width="24" customWidth="1" min="3" max="3"/>
    <col width="24" customWidth="1" min="4" max="4"/>
  </cols>
  <sheetData>
    <row r="1" ht="24" customHeight="1">
      <c r="A1" s="1" t="inlineStr">
        <is>
          <t>Combat Resolver (1 attack)</t>
        </is>
      </c>
    </row>
    <row r="3" ht="36" customHeight="1">
      <c r="A3" s="7" t="inlineStr">
        <is>
          <t>Fill the attacker / defender fields. The two d10 totals tell you who wins; on ties, the defender wins. Winner deals listed damage. If the defender wins and has a Counter, defender deals counter damage to the attacker.</t>
        </is>
      </c>
    </row>
    <row r="5">
      <c r="A5" s="8" t="inlineStr">
        <is>
          <t>Attacker faction</t>
        </is>
      </c>
      <c r="B5" s="6" t="inlineStr"/>
      <c r="C5" s="9" t="n"/>
      <c r="D5" s="10" t="n"/>
    </row>
    <row r="6">
      <c r="A6" s="8" t="inlineStr">
        <is>
          <t>Attacker asset</t>
        </is>
      </c>
      <c r="B6" s="6" t="inlineStr"/>
      <c r="C6" s="9" t="n"/>
      <c r="D6" s="10" t="n"/>
    </row>
    <row r="7">
      <c r="A7" s="8" t="inlineStr">
        <is>
          <t>Attacker attribute used</t>
        </is>
      </c>
      <c r="B7" s="6" t="inlineStr"/>
      <c r="C7" s="9" t="n"/>
      <c r="D7" s="10" t="n"/>
    </row>
    <row r="8">
      <c r="A8" s="8" t="inlineStr">
        <is>
          <t>Attacker attribute rating</t>
        </is>
      </c>
      <c r="B8" s="6" t="inlineStr"/>
      <c r="C8" s="9" t="n"/>
      <c r="D8" s="10" t="n"/>
    </row>
    <row r="9">
      <c r="A9" s="8" t="inlineStr">
        <is>
          <t>Attacker d10 roll</t>
        </is>
      </c>
      <c r="B9" s="6" t="inlineStr"/>
      <c r="C9" s="9" t="n"/>
      <c r="D9" s="10" t="n"/>
    </row>
    <row r="10">
      <c r="A10" s="8" t="inlineStr">
        <is>
          <t>Attacker total</t>
        </is>
      </c>
      <c r="B10" s="6" t="inlineStr"/>
      <c r="C10" s="9" t="n"/>
      <c r="D10" s="10" t="n"/>
    </row>
    <row r="11">
      <c r="A11" s="8" t="inlineStr">
        <is>
          <t>Defender faction</t>
        </is>
      </c>
      <c r="B11" s="6" t="inlineStr"/>
      <c r="C11" s="9" t="n"/>
      <c r="D11" s="10" t="n"/>
    </row>
    <row r="12">
      <c r="A12" s="8" t="inlineStr">
        <is>
          <t>Defender asset</t>
        </is>
      </c>
      <c r="B12" s="6" t="inlineStr"/>
      <c r="C12" s="9" t="n"/>
      <c r="D12" s="10" t="n"/>
    </row>
    <row r="13">
      <c r="A13" s="8" t="inlineStr">
        <is>
          <t>Defender attribute used</t>
        </is>
      </c>
      <c r="B13" s="6" t="inlineStr"/>
      <c r="C13" s="9" t="n"/>
      <c r="D13" s="10" t="n"/>
    </row>
    <row r="14">
      <c r="A14" s="8" t="inlineStr">
        <is>
          <t>Defender attribute rating</t>
        </is>
      </c>
      <c r="B14" s="6" t="inlineStr"/>
      <c r="C14" s="9" t="n"/>
      <c r="D14" s="10" t="n"/>
    </row>
    <row r="15">
      <c r="A15" s="8" t="inlineStr">
        <is>
          <t>Defender d10 roll</t>
        </is>
      </c>
      <c r="B15" s="6" t="inlineStr"/>
      <c r="C15" s="9" t="n"/>
      <c r="D15" s="10" t="n"/>
    </row>
    <row r="16">
      <c r="A16" s="8" t="inlineStr">
        <is>
          <t>Defender total</t>
        </is>
      </c>
      <c r="B16" s="6" t="inlineStr"/>
      <c r="C16" s="9" t="n"/>
      <c r="D16" s="10" t="n"/>
    </row>
    <row r="17">
      <c r="A17" s="8" t="inlineStr">
        <is>
          <t>Winner (highest; ties to defender)</t>
        </is>
      </c>
      <c r="B17" s="6" t="inlineStr"/>
      <c r="C17" s="9" t="n"/>
      <c r="D17" s="10" t="n"/>
    </row>
    <row r="18">
      <c r="A18" s="8" t="inlineStr">
        <is>
          <t>Damage dealt (winner deals listed)</t>
        </is>
      </c>
      <c r="B18" s="6" t="inlineStr"/>
      <c r="C18" s="9" t="n"/>
      <c r="D18" s="10" t="n"/>
    </row>
    <row r="19">
      <c r="A19" s="8" t="inlineStr">
        <is>
          <t>Counter-attack damage (defender wins)</t>
        </is>
      </c>
      <c r="B19" s="6" t="inlineStr"/>
      <c r="C19" s="9" t="n"/>
      <c r="D19" s="10" t="n"/>
    </row>
    <row r="20">
      <c r="A20" s="8" t="inlineStr">
        <is>
          <t>Notes</t>
        </is>
      </c>
      <c r="B20" s="6" t="inlineStr"/>
      <c r="C20" s="9" t="n"/>
      <c r="D20" s="10" t="n"/>
    </row>
    <row r="23">
      <c r="A23" s="11" t="inlineStr">
        <is>
          <t>Helper formulae</t>
        </is>
      </c>
    </row>
    <row r="24">
      <c r="A24" s="12" t="inlineStr">
        <is>
          <t>Attacker total =  d10 roll + attribute rating</t>
        </is>
      </c>
    </row>
    <row r="25">
      <c r="A25" s="12" t="inlineStr">
        <is>
          <t>Defender total =  d10 roll + attribute rating</t>
        </is>
      </c>
    </row>
    <row r="26">
      <c r="A26" s="12" t="inlineStr">
        <is>
          <t>If Attacker total &gt;  Defender total: attacker deals listed Damage</t>
        </is>
      </c>
    </row>
    <row r="27">
      <c r="A27" s="12" t="inlineStr">
        <is>
          <t>Otherwise: defender deals listed Counter (if any) to the attacker</t>
        </is>
      </c>
    </row>
  </sheetData>
  <mergeCells count="18">
    <mergeCell ref="B10:D10"/>
    <mergeCell ref="A1:D1"/>
    <mergeCell ref="B11:D11"/>
    <mergeCell ref="B5:D5"/>
    <mergeCell ref="B14:D14"/>
    <mergeCell ref="B15:D15"/>
    <mergeCell ref="B19:D19"/>
    <mergeCell ref="B8:D8"/>
    <mergeCell ref="A3:D3"/>
    <mergeCell ref="B17:D17"/>
    <mergeCell ref="B9:D9"/>
    <mergeCell ref="B13:D13"/>
    <mergeCell ref="B18:D18"/>
    <mergeCell ref="B12:D12"/>
    <mergeCell ref="B7:D7"/>
    <mergeCell ref="B6:D6"/>
    <mergeCell ref="B16:D16"/>
    <mergeCell ref="B20:D20"/>
  </mergeCells>
  <pageMargins left="0.75" right="0.75" top="1" bottom="1" header="0.5" footer="0.5"/>
</worksheet>
</file>

<file path=xl/worksheets/sheet8.xml><?xml version="1.0" encoding="utf-8"?>
<worksheet xmlns="http://schemas.openxmlformats.org/spreadsheetml/2006/main">
  <sheetPr>
    <tabColor rgb="008064A2"/>
    <outlinePr summaryBelow="1" summaryRight="1"/>
    <pageSetUpPr/>
  </sheetPr>
  <dimension ref="A1:I12"/>
  <sheetViews>
    <sheetView workbookViewId="0">
      <selection activeCell="A1" sqref="A1"/>
    </sheetView>
  </sheetViews>
  <sheetFormatPr baseColWidth="8" defaultRowHeight="15"/>
  <cols>
    <col width="22" customWidth="1" min="1" max="1"/>
    <col width="50" customWidth="1" min="2" max="2"/>
    <col width="8" customWidth="1" min="3" max="3"/>
    <col width="9" customWidth="1" min="4" max="4"/>
    <col width="8" customWidth="1" min="5" max="5"/>
    <col width="8" customWidth="1" min="6" max="6"/>
    <col width="10" customWidth="1" min="7" max="7"/>
    <col width="8" customWidth="1" min="8" max="8"/>
    <col width="60" customWidth="1" min="9" max="9"/>
  </cols>
  <sheetData>
    <row r="1" ht="24" customHeight="1">
      <c r="A1" s="1" t="inlineStr">
        <is>
          <t>Veins of the Earth — Faction Roster</t>
        </is>
      </c>
    </row>
    <row r="3" ht="28" customHeight="1">
      <c r="A3" s="4" t="inlineStr">
        <is>
          <t>Faction</t>
        </is>
      </c>
      <c r="B3" s="4" t="inlineStr">
        <is>
          <t>Tagline</t>
        </is>
      </c>
      <c r="C3" s="4" t="inlineStr">
        <is>
          <t>Force</t>
        </is>
      </c>
      <c r="D3" s="4" t="inlineStr">
        <is>
          <t>Cunning</t>
        </is>
      </c>
      <c r="E3" s="4" t="inlineStr">
        <is>
          <t>Wealth</t>
        </is>
      </c>
      <c r="F3" s="4" t="inlineStr">
        <is>
          <t>Magic</t>
        </is>
      </c>
      <c r="G3" s="4" t="inlineStr">
        <is>
          <t>Treasure</t>
        </is>
      </c>
      <c r="H3" s="4" t="inlineStr">
        <is>
          <t>HP</t>
        </is>
      </c>
      <c r="I3" s="4" t="inlineStr">
        <is>
          <t>Current Goal</t>
        </is>
      </c>
    </row>
    <row r="4">
      <c r="A4" s="5" t="inlineStr">
        <is>
          <t>The Knotsmen</t>
        </is>
      </c>
      <c r="B4" s="5" t="inlineStr">
        <is>
          <t>Bureaucrats of debt, torturers of the ledger.</t>
        </is>
      </c>
      <c r="C4" s="5" t="n">
        <v>2</v>
      </c>
      <c r="D4" s="5" t="n">
        <v>4</v>
      </c>
      <c r="E4" s="5" t="n">
        <v>4</v>
      </c>
      <c r="F4" s="5" t="n">
        <v>2</v>
      </c>
      <c r="G4" s="5" t="n">
        <v>8</v>
      </c>
      <c r="H4" s="5" t="n">
        <v>16</v>
      </c>
      <c r="I4" s="5" t="inlineStr">
        <is>
          <t>Wealth of Worlds — accumulate 30+ banked Treasure through usury and pacts.</t>
        </is>
      </c>
    </row>
    <row r="5">
      <c r="A5" s="6" t="inlineStr">
        <is>
          <t>The Aelf-Adal</t>
        </is>
      </c>
      <c r="B5" s="6" t="inlineStr">
        <is>
          <t>Refugees of nightmare, plotting the unmaking of the day.</t>
        </is>
      </c>
      <c r="C5" s="6" t="n">
        <v>3</v>
      </c>
      <c r="D5" s="6" t="n">
        <v>5</v>
      </c>
      <c r="E5" s="6" t="n">
        <v>2</v>
      </c>
      <c r="F5" s="6" t="n">
        <v>4</v>
      </c>
      <c r="G5" s="6" t="n">
        <v>6</v>
      </c>
      <c r="H5" s="6" t="n">
        <v>18</v>
      </c>
      <c r="I5" s="6" t="inlineStr">
        <is>
          <t>Internal Subversion — reduce a surface faction's Cunning by 2 via Subtle play.</t>
        </is>
      </c>
    </row>
    <row r="6">
      <c r="A6" s="5" t="inlineStr">
        <is>
          <t>The Funginids</t>
        </is>
      </c>
      <c r="B6" s="5" t="inlineStr">
        <is>
          <t>Slave-mushrooms scheming a second extinction.</t>
        </is>
      </c>
      <c r="C6" s="5" t="n">
        <v>2</v>
      </c>
      <c r="D6" s="5" t="n">
        <v>4</v>
      </c>
      <c r="E6" s="5" t="n">
        <v>1</v>
      </c>
      <c r="F6" s="5" t="n">
        <v>3</v>
      </c>
      <c r="G6" s="5" t="n">
        <v>3</v>
      </c>
      <c r="H6" s="5" t="n">
        <v>14</v>
      </c>
      <c r="I6" s="5" t="inlineStr">
        <is>
          <t>Religious Conversion — convert 3 rival assets via spore-cult infiltration.</t>
        </is>
      </c>
    </row>
    <row r="7">
      <c r="A7" s="6" t="inlineStr">
        <is>
          <t>The dErO</t>
        </is>
      </c>
      <c r="B7" s="6" t="inlineStr">
        <is>
          <t>Crystal-paranoiacs with rays for every paranoia.</t>
        </is>
      </c>
      <c r="C7" s="6" t="n">
        <v>3</v>
      </c>
      <c r="D7" s="6" t="n">
        <v>4</v>
      </c>
      <c r="E7" s="6" t="n">
        <v>2</v>
      </c>
      <c r="F7" s="6" t="n">
        <v>3</v>
      </c>
      <c r="G7" s="6" t="n">
        <v>4</v>
      </c>
      <c r="H7" s="6" t="n">
        <v>16</v>
      </c>
      <c r="I7" s="6" t="inlineStr">
        <is>
          <t>Tech / Magic Expansion — reach Magic 4 by stealing crystal lore.</t>
        </is>
      </c>
    </row>
    <row r="8">
      <c r="A8" s="5" t="inlineStr">
        <is>
          <t>The Dvargir</t>
        </is>
      </c>
      <c r="B8" s="5" t="inlineStr">
        <is>
          <t>Eugenic engine-dwarves, distilled into work.</t>
        </is>
      </c>
      <c r="C8" s="5" t="n">
        <v>5</v>
      </c>
      <c r="D8" s="5" t="n">
        <v>2</v>
      </c>
      <c r="E8" s="5" t="n">
        <v>4</v>
      </c>
      <c r="F8" s="5" t="n">
        <v>1</v>
      </c>
      <c r="G8" s="5" t="n">
        <v>7</v>
      </c>
      <c r="H8" s="5" t="n">
        <v>16</v>
      </c>
      <c r="I8" s="5" t="inlineStr">
        <is>
          <t>Commercial Expansion — 8 Treasure of surplus income via forgework.</t>
        </is>
      </c>
    </row>
    <row r="9">
      <c r="A9" s="6" t="inlineStr">
        <is>
          <t>The Gnonmen</t>
        </is>
      </c>
      <c r="B9" s="6" t="inlineStr">
        <is>
          <t>Quiet, brave, light-bearing — the only good thing in the dark.</t>
        </is>
      </c>
      <c r="C9" s="6" t="n">
        <v>3</v>
      </c>
      <c r="D9" s="6" t="n">
        <v>3</v>
      </c>
      <c r="E9" s="6" t="n">
        <v>2</v>
      </c>
      <c r="F9" s="6" t="n">
        <v>2</v>
      </c>
      <c r="G9" s="6" t="n">
        <v>4</v>
      </c>
      <c r="H9" s="6" t="n">
        <v>14</v>
      </c>
      <c r="I9" s="6" t="inlineStr">
        <is>
          <t>Peaceable Kingdom — survive 3 turns without losing an asset.</t>
        </is>
      </c>
    </row>
    <row r="10">
      <c r="A10" s="5" t="inlineStr">
        <is>
          <t>The Substratals</t>
        </is>
      </c>
      <c r="B10" s="5" t="inlineStr">
        <is>
          <t>Earth-elementals more conscious than your summoning intended.</t>
        </is>
      </c>
      <c r="C10" s="5" t="n">
        <v>6</v>
      </c>
      <c r="D10" s="5" t="n">
        <v>1</v>
      </c>
      <c r="E10" s="5" t="n">
        <v>1</v>
      </c>
      <c r="F10" s="5" t="n">
        <v>5</v>
      </c>
      <c r="G10" s="5" t="n">
        <v>3</v>
      </c>
      <c r="H10" s="5" t="n">
        <v>17</v>
      </c>
      <c r="I10" s="5" t="inlineStr">
        <is>
          <t>Invincible Valor — defeat an asset of twice the attacker's Cost.</t>
        </is>
      </c>
    </row>
    <row r="11">
      <c r="A11" s="6" t="inlineStr">
        <is>
          <t>The Deep Janeen</t>
        </is>
      </c>
      <c r="B11" s="6" t="inlineStr">
        <is>
          <t>Solitary genies of stone, building mazes for the soul.</t>
        </is>
      </c>
      <c r="C11" s="6" t="n">
        <v>4</v>
      </c>
      <c r="D11" s="6" t="n">
        <v>4</v>
      </c>
      <c r="E11" s="6" t="n">
        <v>5</v>
      </c>
      <c r="F11" s="6" t="n">
        <v>6</v>
      </c>
      <c r="G11" s="6" t="n">
        <v>10</v>
      </c>
      <c r="H11" s="6" t="n">
        <v>23</v>
      </c>
      <c r="I11" s="6" t="inlineStr">
        <is>
          <t>Wealth of Worlds — Wealth 8 or 30+ Treasure stockpiled.</t>
        </is>
      </c>
    </row>
    <row r="12">
      <c r="A12" s="5" t="inlineStr">
        <is>
          <t>The Olm</t>
        </is>
      </c>
      <c r="B12" s="5" t="inlineStr">
        <is>
          <t>Rubbery, eel-pale, always hungry, never quite a cannibal.</t>
        </is>
      </c>
      <c r="C12" s="5" t="n">
        <v>3</v>
      </c>
      <c r="D12" s="5" t="n">
        <v>3</v>
      </c>
      <c r="E12" s="5" t="n">
        <v>1</v>
      </c>
      <c r="F12" s="5" t="n">
        <v>2</v>
      </c>
      <c r="G12" s="5" t="n">
        <v>3</v>
      </c>
      <c r="H12" s="5" t="n">
        <v>13</v>
      </c>
      <c r="I12" s="5" t="inlineStr">
        <is>
          <t>Veins-Walker — establish permanent caravan path between two distant Veins.</t>
        </is>
      </c>
    </row>
  </sheetData>
  <mergeCells count="1">
    <mergeCell ref="A1:I1"/>
  </mergeCells>
  <pageMargins left="0.75" right="0.75" top="1" bottom="1" header="0.5" footer="0.5"/>
</worksheet>
</file>

<file path=xl/worksheets/sheet9.xml><?xml version="1.0" encoding="utf-8"?>
<worksheet xmlns="http://schemas.openxmlformats.org/spreadsheetml/2006/main">
  <sheetPr>
    <tabColor rgb="0070AD47"/>
    <outlinePr summaryBelow="1" summaryRight="1"/>
    <pageSetUpPr/>
  </sheetPr>
  <dimension ref="A1:J48"/>
  <sheetViews>
    <sheetView workbookViewId="0">
      <selection activeCell="A1" sqref="A1"/>
    </sheetView>
  </sheetViews>
  <sheetFormatPr baseColWidth="8" defaultRowHeight="15"/>
  <cols>
    <col width="6" customWidth="1" min="1" max="1"/>
    <col width="14" customWidth="1" min="2" max="2"/>
    <col width="28" customWidth="1" min="3" max="3"/>
    <col width="28" customWidth="1" min="4" max="4"/>
    <col width="22" customWidth="1" min="5" max="5"/>
    <col width="40" customWidth="1" min="6" max="6"/>
    <col width="10" customWidth="1" min="7" max="7"/>
    <col width="14" customWidth="1" min="8" max="8"/>
    <col width="22" customWidth="1" min="9" max="9"/>
    <col width="30" customWidth="1" min="10" max="10"/>
  </cols>
  <sheetData>
    <row r="1" ht="24" customHeight="1">
      <c r="A1" s="1" t="inlineStr">
        <is>
          <t>The Knotsmen</t>
        </is>
      </c>
    </row>
    <row r="2" ht="18" customHeight="1">
      <c r="A2" s="13" t="inlineStr">
        <is>
          <t>Bureaucrats of debt, torturers of the ledger.</t>
        </is>
      </c>
    </row>
    <row r="3" ht="70" customHeight="1">
      <c r="A3" s="14" t="inlineStr">
        <is>
          <t>Stunted underground humans warped by life beneath the Earth and by ancient pacts with demons of contract and account. Their entire civilisation is a vast filing system: every action incurs interest, every breath is owed. Trade with them at your peril — they will never give you anything for free and they always collect.</t>
        </is>
      </c>
    </row>
    <row r="5" ht="19" customHeight="1">
      <c r="A5" s="2" t="inlineStr">
        <is>
          <t>Attributes &amp; State</t>
        </is>
      </c>
    </row>
    <row r="6" ht="28" customHeight="1">
      <c r="A6" s="4" t="inlineStr">
        <is>
          <t>Field</t>
        </is>
      </c>
      <c r="B6" s="4" t="inlineStr">
        <is>
          <t>Value</t>
        </is>
      </c>
    </row>
    <row r="7">
      <c r="A7" s="5" t="inlineStr">
        <is>
          <t>Force</t>
        </is>
      </c>
      <c r="B7" s="5" t="n">
        <v>2</v>
      </c>
    </row>
    <row r="8">
      <c r="A8" s="6" t="inlineStr">
        <is>
          <t>Cunning</t>
        </is>
      </c>
      <c r="B8" s="6" t="n">
        <v>4</v>
      </c>
    </row>
    <row r="9">
      <c r="A9" s="5" t="inlineStr">
        <is>
          <t>Wealth</t>
        </is>
      </c>
      <c r="B9" s="5" t="n">
        <v>4</v>
      </c>
    </row>
    <row r="10">
      <c r="A10" s="6" t="inlineStr">
        <is>
          <t>Magic</t>
        </is>
      </c>
      <c r="B10" s="6" t="n">
        <v>2</v>
      </c>
    </row>
    <row r="11">
      <c r="A11" s="5" t="inlineStr">
        <is>
          <t>HP (4 + sum of attributes)</t>
        </is>
      </c>
      <c r="B11" s="5" t="n">
        <v>16</v>
      </c>
    </row>
    <row r="12">
      <c r="A12" s="6" t="inlineStr">
        <is>
          <t>Current Treasure</t>
        </is>
      </c>
      <c r="B12" s="6" t="n">
        <v>8</v>
      </c>
    </row>
    <row r="13">
      <c r="A13" s="5" t="inlineStr">
        <is>
          <t>Treasure income / turn (W/2 + F/4 + C/4, round up)</t>
        </is>
      </c>
      <c r="B13" s="5" t="n">
        <v>4</v>
      </c>
    </row>
    <row r="14">
      <c r="A14" s="6" t="inlineStr">
        <is>
          <t>Tier (FacXP / 8 rounded down + 1)</t>
        </is>
      </c>
      <c r="B14" s="6" t="n">
        <v>1</v>
      </c>
    </row>
    <row r="15">
      <c r="A15" s="5" t="inlineStr">
        <is>
          <t>FacXP banked</t>
        </is>
      </c>
      <c r="B15" s="5" t="n">
        <v>0</v>
      </c>
    </row>
    <row r="16">
      <c r="A16" s="6" t="inlineStr">
        <is>
          <t>Home / HQ location</t>
        </is>
      </c>
      <c r="B16" s="6" t="inlineStr">
        <is>
          <t>Gordiam</t>
        </is>
      </c>
    </row>
    <row r="17">
      <c r="A17" s="5" t="inlineStr">
        <is>
          <t>Current Goal</t>
        </is>
      </c>
      <c r="B17" s="5" t="inlineStr">
        <is>
          <t>Wealth of Worlds — accumulate 30+ banked Treasure through usury and pacts.</t>
        </is>
      </c>
    </row>
    <row r="19" ht="19" customHeight="1">
      <c r="A19" s="2" t="inlineStr">
        <is>
          <t>Tags</t>
        </is>
      </c>
    </row>
    <row r="20" ht="28" customHeight="1">
      <c r="A20" s="4" t="inlineStr">
        <is>
          <t>Tag</t>
        </is>
      </c>
      <c r="B20" s="4" t="inlineStr">
        <is>
          <t>Effect (see Tags sheet for full text)</t>
        </is>
      </c>
    </row>
    <row r="21">
      <c r="A21" s="5" t="inlineStr">
        <is>
          <t>Demon-Pacted (homebrew)</t>
        </is>
      </c>
      <c r="B21" s="5" t="inlineStr">
        <is>
          <t>Gain +1 Treasure per turn from infernal patronage. Lose 1 HP from a destroyed asset every time a contract is broken.</t>
        </is>
      </c>
    </row>
    <row r="22">
      <c r="A22" s="6" t="inlineStr">
        <is>
          <t>Tyrannical</t>
        </is>
      </c>
      <c r="B22" s="6" t="inlineStr">
        <is>
          <t>Force assets cost 1 less to upkeep, but assets generate –1 Treasure per turn from unrest.</t>
        </is>
      </c>
    </row>
    <row r="23">
      <c r="A23" s="5" t="inlineStr">
        <is>
          <t>Subterranean (homebrew, Veins-of-the-Earth)</t>
        </is>
      </c>
      <c r="B23" s="5" t="inlineStr">
        <is>
          <t>All assets ignore the first point of movement cost while inside the Veins / Underdark. Surface operations cost +1 Treasure.</t>
        </is>
      </c>
    </row>
    <row r="25" ht="19" customHeight="1">
      <c r="A25" s="2" t="inlineStr">
        <is>
          <t>Starting Assets</t>
        </is>
      </c>
    </row>
    <row r="26" ht="28" customHeight="1">
      <c r="A26" s="4" t="inlineStr">
        <is>
          <t>Asset</t>
        </is>
      </c>
      <c r="B26" s="4" t="inlineStr">
        <is>
          <t>Type</t>
        </is>
      </c>
      <c r="C26" s="4" t="inlineStr">
        <is>
          <t>Cost</t>
        </is>
      </c>
      <c r="D26" s="4" t="inlineStr">
        <is>
          <t>HP</t>
        </is>
      </c>
      <c r="E26" s="4" t="inlineStr">
        <is>
          <t>Attack</t>
        </is>
      </c>
      <c r="F26" s="4" t="inlineStr">
        <is>
          <t>Damage</t>
        </is>
      </c>
      <c r="G26" s="4" t="inlineStr">
        <is>
          <t>Counter</t>
        </is>
      </c>
      <c r="H26" s="4" t="inlineStr">
        <is>
          <t>Min Attr</t>
        </is>
      </c>
      <c r="I26" s="4" t="inlineStr">
        <is>
          <t>Traits</t>
        </is>
      </c>
      <c r="J26" s="4" t="inlineStr">
        <is>
          <t>Location</t>
        </is>
      </c>
    </row>
    <row r="27">
      <c r="A27" s="5" t="inlineStr">
        <is>
          <t>Bonded Service</t>
        </is>
      </c>
      <c r="B27" s="5" t="inlineStr">
        <is>
          <t>Wealth</t>
        </is>
      </c>
      <c r="C27" s="5" t="n">
        <v>6</v>
      </c>
      <c r="D27" s="5" t="n">
        <v>8</v>
      </c>
      <c r="E27" s="5" t="inlineStr">
        <is>
          <t>W vs F</t>
        </is>
      </c>
      <c r="F27" s="5" t="inlineStr">
        <is>
          <t>1d8</t>
        </is>
      </c>
      <c r="G27" s="5" t="inlineStr">
        <is>
          <t>1d4</t>
        </is>
      </c>
      <c r="H27" s="5" t="inlineStr">
        <is>
          <t>Wealth 3</t>
        </is>
      </c>
      <c r="I27" s="5" t="inlineStr">
        <is>
          <t>—</t>
        </is>
      </c>
      <c r="J27" s="5" t="inlineStr">
        <is>
          <t>Nox</t>
        </is>
      </c>
    </row>
    <row r="28">
      <c r="A28" s="6" t="inlineStr">
        <is>
          <t>Usurers</t>
        </is>
      </c>
      <c r="B28" s="6" t="inlineStr">
        <is>
          <t>Wealth</t>
        </is>
      </c>
      <c r="C28" s="6" t="n">
        <v>4</v>
      </c>
      <c r="D28" s="6" t="n">
        <v>8</v>
      </c>
      <c r="E28" s="6" t="inlineStr">
        <is>
          <t>W vs W</t>
        </is>
      </c>
      <c r="F28" s="6" t="inlineStr">
        <is>
          <t>1d10</t>
        </is>
      </c>
      <c r="G28" s="6" t="inlineStr">
        <is>
          <t>—</t>
        </is>
      </c>
      <c r="H28" s="6" t="inlineStr">
        <is>
          <t>Wealth 3</t>
        </is>
      </c>
      <c r="I28" s="6" t="inlineStr">
        <is>
          <t>Special</t>
        </is>
      </c>
      <c r="J28" s="6" t="inlineStr">
        <is>
          <t>Gordiam</t>
        </is>
      </c>
    </row>
    <row r="29">
      <c r="A29" s="5" t="inlineStr">
        <is>
          <t>Pact-Vaults</t>
        </is>
      </c>
      <c r="B29" s="5" t="inlineStr">
        <is>
          <t>Wealth</t>
        </is>
      </c>
      <c r="C29" s="5" t="n">
        <v>10</v>
      </c>
      <c r="D29" s="5" t="n">
        <v>10</v>
      </c>
      <c r="E29" s="5" t="inlineStr">
        <is>
          <t>W vs W</t>
        </is>
      </c>
      <c r="F29" s="5" t="inlineStr">
        <is>
          <t>1d8</t>
        </is>
      </c>
      <c r="G29" s="5" t="inlineStr">
        <is>
          <t>1d4</t>
        </is>
      </c>
      <c r="H29" s="5" t="inlineStr">
        <is>
          <t>Wealth 4, Magic 1</t>
        </is>
      </c>
      <c r="I29" s="5" t="inlineStr">
        <is>
          <t>Special</t>
        </is>
      </c>
      <c r="J29" s="5" t="inlineStr">
        <is>
          <t>Gordiam</t>
        </is>
      </c>
    </row>
    <row r="30">
      <c r="A30" s="6" t="inlineStr">
        <is>
          <t>Debt-Collectors</t>
        </is>
      </c>
      <c r="B30" s="6" t="inlineStr">
        <is>
          <t>Cunning</t>
        </is>
      </c>
      <c r="C30" s="6" t="n">
        <v>5</v>
      </c>
      <c r="D30" s="6" t="n">
        <v>6</v>
      </c>
      <c r="E30" s="6" t="inlineStr">
        <is>
          <t>C vs W</t>
        </is>
      </c>
      <c r="F30" s="6" t="inlineStr">
        <is>
          <t>1d8</t>
        </is>
      </c>
      <c r="G30" s="6" t="inlineStr">
        <is>
          <t>—</t>
        </is>
      </c>
      <c r="H30" s="6" t="inlineStr">
        <is>
          <t>Cunning 2, Magic 1</t>
        </is>
      </c>
      <c r="I30" s="6" t="inlineStr">
        <is>
          <t>Subtle</t>
        </is>
      </c>
      <c r="J30" s="6" t="inlineStr">
        <is>
          <t>Nox</t>
        </is>
      </c>
    </row>
    <row r="31">
      <c r="A31" s="5" t="inlineStr">
        <is>
          <t>Demonic Notary</t>
        </is>
      </c>
      <c r="B31" s="5" t="inlineStr">
        <is>
          <t>Magic</t>
        </is>
      </c>
      <c r="C31" s="5" t="n">
        <v>12</v>
      </c>
      <c r="D31" s="5" t="n">
        <v>10</v>
      </c>
      <c r="E31" s="5" t="inlineStr">
        <is>
          <t>M vs M</t>
        </is>
      </c>
      <c r="F31" s="5" t="inlineStr">
        <is>
          <t>1d10</t>
        </is>
      </c>
      <c r="G31" s="5" t="inlineStr">
        <is>
          <t>1d6</t>
        </is>
      </c>
      <c r="H31" s="5" t="inlineStr">
        <is>
          <t>Magic 3</t>
        </is>
      </c>
      <c r="I31" s="5" t="inlineStr">
        <is>
          <t>Subtle, Special</t>
        </is>
      </c>
      <c r="J31" s="5" t="inlineStr">
        <is>
          <t>Gordiam</t>
        </is>
      </c>
    </row>
    <row r="32">
      <c r="A32" s="6" t="inlineStr">
        <is>
          <t>Mercenaries</t>
        </is>
      </c>
      <c r="B32" s="6" t="inlineStr">
        <is>
          <t>Force</t>
        </is>
      </c>
      <c r="C32" s="6" t="n">
        <v>4</v>
      </c>
      <c r="D32" s="6" t="n">
        <v>6</v>
      </c>
      <c r="E32" s="6" t="inlineStr">
        <is>
          <t>F vs F</t>
        </is>
      </c>
      <c r="F32" s="6" t="inlineStr">
        <is>
          <t>1d8</t>
        </is>
      </c>
      <c r="G32" s="6" t="inlineStr">
        <is>
          <t>1d6</t>
        </is>
      </c>
      <c r="H32" s="6" t="inlineStr">
        <is>
          <t>Force 2</t>
        </is>
      </c>
      <c r="I32" s="6" t="inlineStr">
        <is>
          <t>—</t>
        </is>
      </c>
      <c r="J32" s="6" t="inlineStr">
        <is>
          <t>Gordiam</t>
        </is>
      </c>
    </row>
    <row r="33">
      <c r="A33" s="5" t="inlineStr">
        <is>
          <t>Saboteurs</t>
        </is>
      </c>
      <c r="B33" s="5" t="inlineStr">
        <is>
          <t>Cunning</t>
        </is>
      </c>
      <c r="C33" s="5" t="n">
        <v>4</v>
      </c>
      <c r="D33" s="5" t="n">
        <v>6</v>
      </c>
      <c r="E33" s="5" t="inlineStr">
        <is>
          <t>C vs W</t>
        </is>
      </c>
      <c r="F33" s="5" t="inlineStr">
        <is>
          <t>2d4</t>
        </is>
      </c>
      <c r="G33" s="5" t="inlineStr">
        <is>
          <t>—</t>
        </is>
      </c>
      <c r="H33" s="5" t="inlineStr">
        <is>
          <t>Cunning 2</t>
        </is>
      </c>
      <c r="I33" s="5" t="inlineStr">
        <is>
          <t>Subtle</t>
        </is>
      </c>
      <c r="J33" s="5" t="inlineStr">
        <is>
          <t>Comorragh</t>
        </is>
      </c>
    </row>
    <row r="35" ht="19" customHeight="1">
      <c r="A35" s="2" t="inlineStr">
        <is>
          <t>Turn Log (fill as you play)</t>
        </is>
      </c>
    </row>
    <row r="36" ht="28" customHeight="1">
      <c r="A36" s="4" t="inlineStr">
        <is>
          <t>Turn</t>
        </is>
      </c>
      <c r="B36" s="4" t="inlineStr">
        <is>
          <t>Treasure +/–</t>
        </is>
      </c>
      <c r="C36" s="4" t="inlineStr">
        <is>
          <t>Action Taken</t>
        </is>
      </c>
      <c r="D36" s="4" t="inlineStr">
        <is>
          <t>Result</t>
        </is>
      </c>
      <c r="E36" s="4" t="inlineStr">
        <is>
          <t>Goal Progress</t>
        </is>
      </c>
      <c r="F36" s="4" t="inlineStr">
        <is>
          <t>Notes</t>
        </is>
      </c>
    </row>
    <row r="37">
      <c r="A37" s="5" t="n">
        <v>1</v>
      </c>
      <c r="B37" s="5" t="inlineStr"/>
      <c r="C37" s="5" t="inlineStr"/>
      <c r="D37" s="5" t="inlineStr"/>
      <c r="E37" s="5" t="inlineStr"/>
      <c r="F37" s="5" t="inlineStr"/>
    </row>
    <row r="38">
      <c r="A38" s="6" t="n">
        <v>2</v>
      </c>
      <c r="B38" s="6" t="inlineStr"/>
      <c r="C38" s="6" t="inlineStr"/>
      <c r="D38" s="6" t="inlineStr"/>
      <c r="E38" s="6" t="inlineStr"/>
      <c r="F38" s="6" t="inlineStr"/>
    </row>
    <row r="39">
      <c r="A39" s="5" t="n">
        <v>3</v>
      </c>
      <c r="B39" s="5" t="inlineStr"/>
      <c r="C39" s="5" t="inlineStr"/>
      <c r="D39" s="5" t="inlineStr"/>
      <c r="E39" s="5" t="inlineStr"/>
      <c r="F39" s="5" t="inlineStr"/>
    </row>
    <row r="40">
      <c r="A40" s="6" t="n">
        <v>4</v>
      </c>
      <c r="B40" s="6" t="inlineStr"/>
      <c r="C40" s="6" t="inlineStr"/>
      <c r="D40" s="6" t="inlineStr"/>
      <c r="E40" s="6" t="inlineStr"/>
      <c r="F40" s="6" t="inlineStr"/>
    </row>
    <row r="41">
      <c r="A41" s="5" t="n">
        <v>5</v>
      </c>
      <c r="B41" s="5" t="inlineStr"/>
      <c r="C41" s="5" t="inlineStr"/>
      <c r="D41" s="5" t="inlineStr"/>
      <c r="E41" s="5" t="inlineStr"/>
      <c r="F41" s="5" t="inlineStr"/>
    </row>
    <row r="42">
      <c r="A42" s="6" t="n">
        <v>6</v>
      </c>
      <c r="B42" s="6" t="inlineStr"/>
      <c r="C42" s="6" t="inlineStr"/>
      <c r="D42" s="6" t="inlineStr"/>
      <c r="E42" s="6" t="inlineStr"/>
      <c r="F42" s="6" t="inlineStr"/>
    </row>
    <row r="43">
      <c r="A43" s="5" t="n">
        <v>7</v>
      </c>
      <c r="B43" s="5" t="inlineStr"/>
      <c r="C43" s="5" t="inlineStr"/>
      <c r="D43" s="5" t="inlineStr"/>
      <c r="E43" s="5" t="inlineStr"/>
      <c r="F43" s="5" t="inlineStr"/>
    </row>
    <row r="44">
      <c r="A44" s="6" t="n">
        <v>8</v>
      </c>
      <c r="B44" s="6" t="inlineStr"/>
      <c r="C44" s="6" t="inlineStr"/>
      <c r="D44" s="6" t="inlineStr"/>
      <c r="E44" s="6" t="inlineStr"/>
      <c r="F44" s="6" t="inlineStr"/>
    </row>
    <row r="45">
      <c r="A45" s="5" t="n">
        <v>9</v>
      </c>
      <c r="B45" s="5" t="inlineStr"/>
      <c r="C45" s="5" t="inlineStr"/>
      <c r="D45" s="5" t="inlineStr"/>
      <c r="E45" s="5" t="inlineStr"/>
      <c r="F45" s="5" t="inlineStr"/>
    </row>
    <row r="46">
      <c r="A46" s="6" t="n">
        <v>10</v>
      </c>
      <c r="B46" s="6" t="inlineStr"/>
      <c r="C46" s="6" t="inlineStr"/>
      <c r="D46" s="6" t="inlineStr"/>
      <c r="E46" s="6" t="inlineStr"/>
      <c r="F46" s="6" t="inlineStr"/>
    </row>
    <row r="47">
      <c r="A47" s="5" t="n">
        <v>11</v>
      </c>
      <c r="B47" s="5" t="inlineStr"/>
      <c r="C47" s="5" t="inlineStr"/>
      <c r="D47" s="5" t="inlineStr"/>
      <c r="E47" s="5" t="inlineStr"/>
      <c r="F47" s="5" t="inlineStr"/>
    </row>
    <row r="48">
      <c r="A48" s="6" t="n">
        <v>12</v>
      </c>
      <c r="B48" s="6" t="inlineStr"/>
      <c r="C48" s="6" t="inlineStr"/>
      <c r="D48" s="6" t="inlineStr"/>
      <c r="E48" s="6" t="inlineStr"/>
      <c r="F48" s="6" t="inlineStr"/>
    </row>
  </sheetData>
  <mergeCells count="7">
    <mergeCell ref="A2:F2"/>
    <mergeCell ref="A19:F19"/>
    <mergeCell ref="A1:F1"/>
    <mergeCell ref="A5:F5"/>
    <mergeCell ref="A35:F35"/>
    <mergeCell ref="A3:F3"/>
    <mergeCell ref="A25:F25"/>
  </mergeCells>
  <pageMargins left="0.75" right="0.75" top="1" bottom="1" header="0.5" footer="0.5"/>
</worksheet>
</file>

<file path=xl/worksheets/sheet10.xml><?xml version="1.0" encoding="utf-8"?>
<worksheet xmlns="http://schemas.openxmlformats.org/spreadsheetml/2006/main">
  <sheetPr>
    <tabColor rgb="0070AD47"/>
    <outlinePr summaryBelow="1" summaryRight="1"/>
    <pageSetUpPr/>
  </sheetPr>
  <dimension ref="A1:J48"/>
  <sheetViews>
    <sheetView workbookViewId="0">
      <selection activeCell="A1" sqref="A1"/>
    </sheetView>
  </sheetViews>
  <sheetFormatPr baseColWidth="8" defaultRowHeight="15"/>
  <cols>
    <col width="6" customWidth="1" min="1" max="1"/>
    <col width="14" customWidth="1" min="2" max="2"/>
    <col width="28" customWidth="1" min="3" max="3"/>
    <col width="28" customWidth="1" min="4" max="4"/>
    <col width="22" customWidth="1" min="5" max="5"/>
    <col width="40" customWidth="1" min="6" max="6"/>
    <col width="10" customWidth="1" min="7" max="7"/>
    <col width="14" customWidth="1" min="8" max="8"/>
    <col width="22" customWidth="1" min="9" max="9"/>
    <col width="30" customWidth="1" min="10" max="10"/>
  </cols>
  <sheetData>
    <row r="1" ht="24" customHeight="1">
      <c r="A1" s="1" t="inlineStr">
        <is>
          <t>The Aelf-Adal</t>
        </is>
      </c>
    </row>
    <row r="2" ht="18" customHeight="1">
      <c r="A2" s="13" t="inlineStr">
        <is>
          <t>Refugees of nightmare, plotting the unmaking of the day.</t>
        </is>
      </c>
    </row>
    <row r="3" ht="70" customHeight="1">
      <c r="A3" s="14" t="inlineStr">
        <is>
          <t>Beautiful, cruel, dream-born exiles. Their kingdom was beaten back into the dark long ago and they have spent centuries plotting the reversal of the waking world. They hate all life that is not them, but cannot risk pure genocide — they fear their own existence depends on someone, somewhere, still dreaming of them.</t>
        </is>
      </c>
    </row>
    <row r="5" ht="19" customHeight="1">
      <c r="A5" s="2" t="inlineStr">
        <is>
          <t>Attributes &amp; State</t>
        </is>
      </c>
    </row>
    <row r="6" ht="28" customHeight="1">
      <c r="A6" s="4" t="inlineStr">
        <is>
          <t>Field</t>
        </is>
      </c>
      <c r="B6" s="4" t="inlineStr">
        <is>
          <t>Value</t>
        </is>
      </c>
    </row>
    <row r="7">
      <c r="A7" s="5" t="inlineStr">
        <is>
          <t>Force</t>
        </is>
      </c>
      <c r="B7" s="5" t="n">
        <v>3</v>
      </c>
    </row>
    <row r="8">
      <c r="A8" s="6" t="inlineStr">
        <is>
          <t>Cunning</t>
        </is>
      </c>
      <c r="B8" s="6" t="n">
        <v>5</v>
      </c>
    </row>
    <row r="9">
      <c r="A9" s="5" t="inlineStr">
        <is>
          <t>Wealth</t>
        </is>
      </c>
      <c r="B9" s="5" t="n">
        <v>2</v>
      </c>
    </row>
    <row r="10">
      <c r="A10" s="6" t="inlineStr">
        <is>
          <t>Magic</t>
        </is>
      </c>
      <c r="B10" s="6" t="n">
        <v>4</v>
      </c>
    </row>
    <row r="11">
      <c r="A11" s="5" t="inlineStr">
        <is>
          <t>HP (4 + sum of attributes)</t>
        </is>
      </c>
      <c r="B11" s="5" t="n">
        <v>18</v>
      </c>
    </row>
    <row r="12">
      <c r="A12" s="6" t="inlineStr">
        <is>
          <t>Current Treasure</t>
        </is>
      </c>
      <c r="B12" s="6" t="n">
        <v>6</v>
      </c>
    </row>
    <row r="13">
      <c r="A13" s="5" t="inlineStr">
        <is>
          <t>Treasure income / turn (W/2 + F/4 + C/4, round up)</t>
        </is>
      </c>
      <c r="B13" s="5" t="n">
        <v>3</v>
      </c>
    </row>
    <row r="14">
      <c r="A14" s="6" t="inlineStr">
        <is>
          <t>Tier (FacXP / 8 rounded down + 1)</t>
        </is>
      </c>
      <c r="B14" s="6" t="n">
        <v>1</v>
      </c>
    </row>
    <row r="15">
      <c r="A15" s="5" t="inlineStr">
        <is>
          <t>FacXP banked</t>
        </is>
      </c>
      <c r="B15" s="5" t="n">
        <v>0</v>
      </c>
    </row>
    <row r="16">
      <c r="A16" s="6" t="inlineStr">
        <is>
          <t>Home / HQ location</t>
        </is>
      </c>
      <c r="B16" s="6" t="inlineStr">
        <is>
          <t>Celephais</t>
        </is>
      </c>
    </row>
    <row r="17">
      <c r="A17" s="5" t="inlineStr">
        <is>
          <t>Current Goal</t>
        </is>
      </c>
      <c r="B17" s="5" t="inlineStr">
        <is>
          <t>Internal Subversion — reduce a surface faction's Cunning by 2 via Subtle play.</t>
        </is>
      </c>
    </row>
    <row r="19" ht="19" customHeight="1">
      <c r="A19" s="2" t="inlineStr">
        <is>
          <t>Tags</t>
        </is>
      </c>
    </row>
    <row r="20" ht="28" customHeight="1">
      <c r="A20" s="4" t="inlineStr">
        <is>
          <t>Tag</t>
        </is>
      </c>
      <c r="B20" s="4" t="inlineStr">
        <is>
          <t>Effect (see Tags sheet for full text)</t>
        </is>
      </c>
    </row>
    <row r="21">
      <c r="A21" s="5" t="inlineStr">
        <is>
          <t>Dream-Born (homebrew)</t>
        </is>
      </c>
      <c r="B21" s="5" t="inlineStr">
        <is>
          <t>All assets are Stealthed by default while in the same location as a Cult Network. May not act on surface locations exposed to bright sunlight.</t>
        </is>
      </c>
    </row>
    <row r="22">
      <c r="A22" s="6" t="inlineStr">
        <is>
          <t>Secretive</t>
        </is>
      </c>
      <c r="B22" s="6" t="inlineStr">
        <is>
          <t>Cunning assets start Stealthed automatically; rivals roll at –2 to detect them.</t>
        </is>
      </c>
    </row>
    <row r="23">
      <c r="A23" s="5" t="inlineStr">
        <is>
          <t>Cult of Personality</t>
        </is>
      </c>
      <c r="B23" s="5" t="inlineStr">
        <is>
          <t>Faction's leader counts as a free Cunning 8 asset for purposes of resisting Cunning attacks while alive.</t>
        </is>
      </c>
    </row>
    <row r="25" ht="19" customHeight="1">
      <c r="A25" s="2" t="inlineStr">
        <is>
          <t>Starting Assets</t>
        </is>
      </c>
    </row>
    <row r="26" ht="28" customHeight="1">
      <c r="A26" s="4" t="inlineStr">
        <is>
          <t>Asset</t>
        </is>
      </c>
      <c r="B26" s="4" t="inlineStr">
        <is>
          <t>Type</t>
        </is>
      </c>
      <c r="C26" s="4" t="inlineStr">
        <is>
          <t>Cost</t>
        </is>
      </c>
      <c r="D26" s="4" t="inlineStr">
        <is>
          <t>HP</t>
        </is>
      </c>
      <c r="E26" s="4" t="inlineStr">
        <is>
          <t>Attack</t>
        </is>
      </c>
      <c r="F26" s="4" t="inlineStr">
        <is>
          <t>Damage</t>
        </is>
      </c>
      <c r="G26" s="4" t="inlineStr">
        <is>
          <t>Counter</t>
        </is>
      </c>
      <c r="H26" s="4" t="inlineStr">
        <is>
          <t>Min Attr</t>
        </is>
      </c>
      <c r="I26" s="4" t="inlineStr">
        <is>
          <t>Traits</t>
        </is>
      </c>
      <c r="J26" s="4" t="inlineStr">
        <is>
          <t>Location</t>
        </is>
      </c>
    </row>
    <row r="27">
      <c r="A27" s="5" t="inlineStr">
        <is>
          <t>Dream-Walkers</t>
        </is>
      </c>
      <c r="B27" s="5" t="inlineStr">
        <is>
          <t>Cunning</t>
        </is>
      </c>
      <c r="C27" s="5" t="n">
        <v>6</v>
      </c>
      <c r="D27" s="5" t="n">
        <v>6</v>
      </c>
      <c r="E27" s="5" t="inlineStr">
        <is>
          <t>C vs M</t>
        </is>
      </c>
      <c r="F27" s="5" t="inlineStr">
        <is>
          <t>1d8</t>
        </is>
      </c>
      <c r="G27" s="5" t="inlineStr">
        <is>
          <t>—</t>
        </is>
      </c>
      <c r="H27" s="5" t="inlineStr">
        <is>
          <t>Cunning 3, Magic 2</t>
        </is>
      </c>
      <c r="I27" s="5" t="inlineStr">
        <is>
          <t>Stealthed, Subtle</t>
        </is>
      </c>
      <c r="J27" s="5" t="inlineStr">
        <is>
          <t>Nox</t>
        </is>
      </c>
    </row>
    <row r="28">
      <c r="A28" s="6" t="inlineStr">
        <is>
          <t>Assassins</t>
        </is>
      </c>
      <c r="B28" s="6" t="inlineStr">
        <is>
          <t>Cunning</t>
        </is>
      </c>
      <c r="C28" s="6" t="n">
        <v>6</v>
      </c>
      <c r="D28" s="6" t="n">
        <v>6</v>
      </c>
      <c r="E28" s="6" t="inlineStr">
        <is>
          <t>C vs F</t>
        </is>
      </c>
      <c r="F28" s="6" t="inlineStr">
        <is>
          <t>1d10</t>
        </is>
      </c>
      <c r="G28" s="6" t="inlineStr">
        <is>
          <t>—</t>
        </is>
      </c>
      <c r="H28" s="6" t="inlineStr">
        <is>
          <t>Cunning 3</t>
        </is>
      </c>
      <c r="I28" s="6" t="inlineStr">
        <is>
          <t>Stealthed, Action</t>
        </is>
      </c>
      <c r="J28" s="6" t="inlineStr">
        <is>
          <t>Celephais</t>
        </is>
      </c>
    </row>
    <row r="29">
      <c r="A29" s="5" t="inlineStr">
        <is>
          <t>Cult Network</t>
        </is>
      </c>
      <c r="B29" s="5" t="inlineStr">
        <is>
          <t>Cunning</t>
        </is>
      </c>
      <c r="C29" s="5" t="n">
        <v>8</v>
      </c>
      <c r="D29" s="5" t="n">
        <v>10</v>
      </c>
      <c r="E29" s="5" t="inlineStr">
        <is>
          <t>C vs C</t>
        </is>
      </c>
      <c r="F29" s="5" t="inlineStr">
        <is>
          <t>1d10</t>
        </is>
      </c>
      <c r="G29" s="5" t="inlineStr">
        <is>
          <t>—</t>
        </is>
      </c>
      <c r="H29" s="5" t="inlineStr">
        <is>
          <t>Cunning 4</t>
        </is>
      </c>
      <c r="I29" s="5" t="inlineStr">
        <is>
          <t>Subtle, Special</t>
        </is>
      </c>
      <c r="J29" s="5" t="inlineStr">
        <is>
          <t>Nox</t>
        </is>
      </c>
    </row>
    <row r="30">
      <c r="A30" s="6" t="inlineStr">
        <is>
          <t>Witch Coven</t>
        </is>
      </c>
      <c r="B30" s="6" t="inlineStr">
        <is>
          <t>Magic</t>
        </is>
      </c>
      <c r="C30" s="6" t="n">
        <v>8</v>
      </c>
      <c r="D30" s="6" t="n">
        <v>8</v>
      </c>
      <c r="E30" s="6" t="inlineStr">
        <is>
          <t>M vs M</t>
        </is>
      </c>
      <c r="F30" s="6" t="inlineStr">
        <is>
          <t>1d8</t>
        </is>
      </c>
      <c r="G30" s="6" t="inlineStr">
        <is>
          <t>1d6</t>
        </is>
      </c>
      <c r="H30" s="6" t="inlineStr">
        <is>
          <t>Magic 2</t>
        </is>
      </c>
      <c r="I30" s="6" t="inlineStr">
        <is>
          <t>—</t>
        </is>
      </c>
      <c r="J30" s="6" t="inlineStr">
        <is>
          <t>Celephais</t>
        </is>
      </c>
    </row>
    <row r="31">
      <c r="A31" s="5" t="inlineStr">
        <is>
          <t>Adept Order</t>
        </is>
      </c>
      <c r="B31" s="5" t="inlineStr">
        <is>
          <t>Magic</t>
        </is>
      </c>
      <c r="C31" s="5" t="n">
        <v>12</v>
      </c>
      <c r="D31" s="5" t="n">
        <v>12</v>
      </c>
      <c r="E31" s="5" t="inlineStr">
        <is>
          <t>M vs M</t>
        </is>
      </c>
      <c r="F31" s="5" t="inlineStr">
        <is>
          <t>1d10</t>
        </is>
      </c>
      <c r="G31" s="5" t="inlineStr">
        <is>
          <t>1d6</t>
        </is>
      </c>
      <c r="H31" s="5" t="inlineStr">
        <is>
          <t>Magic 4</t>
        </is>
      </c>
      <c r="I31" s="5" t="inlineStr">
        <is>
          <t>—</t>
        </is>
      </c>
      <c r="J31" s="5" t="inlineStr">
        <is>
          <t>Celephais</t>
        </is>
      </c>
    </row>
    <row r="32">
      <c r="A32" s="6" t="inlineStr">
        <is>
          <t>Dream-Knights of the Black Glass Court</t>
        </is>
      </c>
      <c r="B32" s="6" t="inlineStr">
        <is>
          <t>Force</t>
        </is>
      </c>
      <c r="C32" s="6" t="n">
        <v>14</v>
      </c>
      <c r="D32" s="6" t="n">
        <v>16</v>
      </c>
      <c r="E32" s="6" t="inlineStr">
        <is>
          <t>F vs C</t>
        </is>
      </c>
      <c r="F32" s="6" t="inlineStr">
        <is>
          <t>2d6</t>
        </is>
      </c>
      <c r="G32" s="6" t="inlineStr">
        <is>
          <t>1d10</t>
        </is>
      </c>
      <c r="H32" s="6" t="inlineStr">
        <is>
          <t>Force 5, Magic 2</t>
        </is>
      </c>
      <c r="I32" s="6" t="inlineStr">
        <is>
          <t>—</t>
        </is>
      </c>
      <c r="J32" s="6" t="inlineStr">
        <is>
          <t>Celephais</t>
        </is>
      </c>
    </row>
    <row r="33">
      <c r="A33" s="5" t="inlineStr">
        <is>
          <t>Dream Anchor</t>
        </is>
      </c>
      <c r="B33" s="5" t="inlineStr">
        <is>
          <t>Magic</t>
        </is>
      </c>
      <c r="C33" s="5" t="n">
        <v>10</v>
      </c>
      <c r="D33" s="5" t="n">
        <v>14</v>
      </c>
      <c r="E33" s="5" t="inlineStr">
        <is>
          <t>M vs M</t>
        </is>
      </c>
      <c r="F33" s="5" t="inlineStr">
        <is>
          <t>1d6</t>
        </is>
      </c>
      <c r="G33" s="5" t="inlineStr">
        <is>
          <t>1d8</t>
        </is>
      </c>
      <c r="H33" s="5" t="inlineStr">
        <is>
          <t>Magic 4</t>
        </is>
      </c>
      <c r="I33" s="5" t="inlineStr">
        <is>
          <t>Special</t>
        </is>
      </c>
      <c r="J33" s="5" t="inlineStr">
        <is>
          <t>Celephais</t>
        </is>
      </c>
    </row>
    <row r="35" ht="19" customHeight="1">
      <c r="A35" s="2" t="inlineStr">
        <is>
          <t>Turn Log (fill as you play)</t>
        </is>
      </c>
    </row>
    <row r="36" ht="28" customHeight="1">
      <c r="A36" s="4" t="inlineStr">
        <is>
          <t>Turn</t>
        </is>
      </c>
      <c r="B36" s="4" t="inlineStr">
        <is>
          <t>Treasure +/–</t>
        </is>
      </c>
      <c r="C36" s="4" t="inlineStr">
        <is>
          <t>Action Taken</t>
        </is>
      </c>
      <c r="D36" s="4" t="inlineStr">
        <is>
          <t>Result</t>
        </is>
      </c>
      <c r="E36" s="4" t="inlineStr">
        <is>
          <t>Goal Progress</t>
        </is>
      </c>
      <c r="F36" s="4" t="inlineStr">
        <is>
          <t>Notes</t>
        </is>
      </c>
    </row>
    <row r="37">
      <c r="A37" s="5" t="n">
        <v>1</v>
      </c>
      <c r="B37" s="5" t="inlineStr"/>
      <c r="C37" s="5" t="inlineStr"/>
      <c r="D37" s="5" t="inlineStr"/>
      <c r="E37" s="5" t="inlineStr"/>
      <c r="F37" s="5" t="inlineStr"/>
    </row>
    <row r="38">
      <c r="A38" s="6" t="n">
        <v>2</v>
      </c>
      <c r="B38" s="6" t="inlineStr"/>
      <c r="C38" s="6" t="inlineStr"/>
      <c r="D38" s="6" t="inlineStr"/>
      <c r="E38" s="6" t="inlineStr"/>
      <c r="F38" s="6" t="inlineStr"/>
    </row>
    <row r="39">
      <c r="A39" s="5" t="n">
        <v>3</v>
      </c>
      <c r="B39" s="5" t="inlineStr"/>
      <c r="C39" s="5" t="inlineStr"/>
      <c r="D39" s="5" t="inlineStr"/>
      <c r="E39" s="5" t="inlineStr"/>
      <c r="F39" s="5" t="inlineStr"/>
    </row>
    <row r="40">
      <c r="A40" s="6" t="n">
        <v>4</v>
      </c>
      <c r="B40" s="6" t="inlineStr"/>
      <c r="C40" s="6" t="inlineStr"/>
      <c r="D40" s="6" t="inlineStr"/>
      <c r="E40" s="6" t="inlineStr"/>
      <c r="F40" s="6" t="inlineStr"/>
    </row>
    <row r="41">
      <c r="A41" s="5" t="n">
        <v>5</v>
      </c>
      <c r="B41" s="5" t="inlineStr"/>
      <c r="C41" s="5" t="inlineStr"/>
      <c r="D41" s="5" t="inlineStr"/>
      <c r="E41" s="5" t="inlineStr"/>
      <c r="F41" s="5" t="inlineStr"/>
    </row>
    <row r="42">
      <c r="A42" s="6" t="n">
        <v>6</v>
      </c>
      <c r="B42" s="6" t="inlineStr"/>
      <c r="C42" s="6" t="inlineStr"/>
      <c r="D42" s="6" t="inlineStr"/>
      <c r="E42" s="6" t="inlineStr"/>
      <c r="F42" s="6" t="inlineStr"/>
    </row>
    <row r="43">
      <c r="A43" s="5" t="n">
        <v>7</v>
      </c>
      <c r="B43" s="5" t="inlineStr"/>
      <c r="C43" s="5" t="inlineStr"/>
      <c r="D43" s="5" t="inlineStr"/>
      <c r="E43" s="5" t="inlineStr"/>
      <c r="F43" s="5" t="inlineStr"/>
    </row>
    <row r="44">
      <c r="A44" s="6" t="n">
        <v>8</v>
      </c>
      <c r="B44" s="6" t="inlineStr"/>
      <c r="C44" s="6" t="inlineStr"/>
      <c r="D44" s="6" t="inlineStr"/>
      <c r="E44" s="6" t="inlineStr"/>
      <c r="F44" s="6" t="inlineStr"/>
    </row>
    <row r="45">
      <c r="A45" s="5" t="n">
        <v>9</v>
      </c>
      <c r="B45" s="5" t="inlineStr"/>
      <c r="C45" s="5" t="inlineStr"/>
      <c r="D45" s="5" t="inlineStr"/>
      <c r="E45" s="5" t="inlineStr"/>
      <c r="F45" s="5" t="inlineStr"/>
    </row>
    <row r="46">
      <c r="A46" s="6" t="n">
        <v>10</v>
      </c>
      <c r="B46" s="6" t="inlineStr"/>
      <c r="C46" s="6" t="inlineStr"/>
      <c r="D46" s="6" t="inlineStr"/>
      <c r="E46" s="6" t="inlineStr"/>
      <c r="F46" s="6" t="inlineStr"/>
    </row>
    <row r="47">
      <c r="A47" s="5" t="n">
        <v>11</v>
      </c>
      <c r="B47" s="5" t="inlineStr"/>
      <c r="C47" s="5" t="inlineStr"/>
      <c r="D47" s="5" t="inlineStr"/>
      <c r="E47" s="5" t="inlineStr"/>
      <c r="F47" s="5" t="inlineStr"/>
    </row>
    <row r="48">
      <c r="A48" s="6" t="n">
        <v>12</v>
      </c>
      <c r="B48" s="6" t="inlineStr"/>
      <c r="C48" s="6" t="inlineStr"/>
      <c r="D48" s="6" t="inlineStr"/>
      <c r="E48" s="6" t="inlineStr"/>
      <c r="F48" s="6" t="inlineStr"/>
    </row>
  </sheetData>
  <mergeCells count="7">
    <mergeCell ref="A2:F2"/>
    <mergeCell ref="A19:F19"/>
    <mergeCell ref="A1:F1"/>
    <mergeCell ref="A5:F5"/>
    <mergeCell ref="A35:F35"/>
    <mergeCell ref="A3:F3"/>
    <mergeCell ref="A25:F25"/>
  </mergeCells>
  <pageMargins left="0.75" right="0.75" top="1" bottom="1" header="0.5" footer="0.5"/>
</worksheet>
</file>

<file path=xl/worksheets/sheet11.xml><?xml version="1.0" encoding="utf-8"?>
<worksheet xmlns="http://schemas.openxmlformats.org/spreadsheetml/2006/main">
  <sheetPr>
    <tabColor rgb="0070AD47"/>
    <outlinePr summaryBelow="1" summaryRight="1"/>
    <pageSetUpPr/>
  </sheetPr>
  <dimension ref="A1:J47"/>
  <sheetViews>
    <sheetView workbookViewId="0">
      <selection activeCell="A1" sqref="A1"/>
    </sheetView>
  </sheetViews>
  <sheetFormatPr baseColWidth="8" defaultRowHeight="15"/>
  <cols>
    <col width="6" customWidth="1" min="1" max="1"/>
    <col width="14" customWidth="1" min="2" max="2"/>
    <col width="28" customWidth="1" min="3" max="3"/>
    <col width="28" customWidth="1" min="4" max="4"/>
    <col width="22" customWidth="1" min="5" max="5"/>
    <col width="40" customWidth="1" min="6" max="6"/>
    <col width="10" customWidth="1" min="7" max="7"/>
    <col width="14" customWidth="1" min="8" max="8"/>
    <col width="22" customWidth="1" min="9" max="9"/>
    <col width="30" customWidth="1" min="10" max="10"/>
  </cols>
  <sheetData>
    <row r="1" ht="24" customHeight="1">
      <c r="A1" s="1" t="inlineStr">
        <is>
          <t>The Funginids</t>
        </is>
      </c>
    </row>
    <row r="2" ht="18" customHeight="1">
      <c r="A2" s="13" t="inlineStr">
        <is>
          <t>Slave-mushrooms scheming a second extinction.</t>
        </is>
      </c>
    </row>
    <row r="3" ht="70" customHeight="1">
      <c r="A3" s="14" t="inlineStr">
        <is>
          <t>Sentient walking fungi met chiefly as the slaves of animal races. Beneath that passivity their colonial mind is engineering catastrophe — an event of mass death to recreate the carrion-rich substrate their ancestors once thrived in.</t>
        </is>
      </c>
    </row>
    <row r="5" ht="19" customHeight="1">
      <c r="A5" s="2" t="inlineStr">
        <is>
          <t>Attributes &amp; State</t>
        </is>
      </c>
    </row>
    <row r="6" ht="28" customHeight="1">
      <c r="A6" s="4" t="inlineStr">
        <is>
          <t>Field</t>
        </is>
      </c>
      <c r="B6" s="4" t="inlineStr">
        <is>
          <t>Value</t>
        </is>
      </c>
    </row>
    <row r="7">
      <c r="A7" s="5" t="inlineStr">
        <is>
          <t>Force</t>
        </is>
      </c>
      <c r="B7" s="5" t="n">
        <v>2</v>
      </c>
    </row>
    <row r="8">
      <c r="A8" s="6" t="inlineStr">
        <is>
          <t>Cunning</t>
        </is>
      </c>
      <c r="B8" s="6" t="n">
        <v>4</v>
      </c>
    </row>
    <row r="9">
      <c r="A9" s="5" t="inlineStr">
        <is>
          <t>Wealth</t>
        </is>
      </c>
      <c r="B9" s="5" t="n">
        <v>1</v>
      </c>
    </row>
    <row r="10">
      <c r="A10" s="6" t="inlineStr">
        <is>
          <t>Magic</t>
        </is>
      </c>
      <c r="B10" s="6" t="n">
        <v>3</v>
      </c>
    </row>
    <row r="11">
      <c r="A11" s="5" t="inlineStr">
        <is>
          <t>HP (4 + sum of attributes)</t>
        </is>
      </c>
      <c r="B11" s="5" t="n">
        <v>14</v>
      </c>
    </row>
    <row r="12">
      <c r="A12" s="6" t="inlineStr">
        <is>
          <t>Current Treasure</t>
        </is>
      </c>
      <c r="B12" s="6" t="n">
        <v>3</v>
      </c>
    </row>
    <row r="13">
      <c r="A13" s="5" t="inlineStr">
        <is>
          <t>Treasure income / turn (W/2 + F/4 + C/4, round up)</t>
        </is>
      </c>
      <c r="B13" s="5" t="n">
        <v>2</v>
      </c>
    </row>
    <row r="14">
      <c r="A14" s="6" t="inlineStr">
        <is>
          <t>Tier (FacXP / 8 rounded down + 1)</t>
        </is>
      </c>
      <c r="B14" s="6" t="n">
        <v>1</v>
      </c>
    </row>
    <row r="15">
      <c r="A15" s="5" t="inlineStr">
        <is>
          <t>FacXP banked</t>
        </is>
      </c>
      <c r="B15" s="5" t="n">
        <v>0</v>
      </c>
    </row>
    <row r="16">
      <c r="A16" s="6" t="inlineStr">
        <is>
          <t>Home / HQ location</t>
        </is>
      </c>
      <c r="B16" s="6" t="inlineStr">
        <is>
          <t>Genet</t>
        </is>
      </c>
    </row>
    <row r="17">
      <c r="A17" s="5" t="inlineStr">
        <is>
          <t>Current Goal</t>
        </is>
      </c>
      <c r="B17" s="5" t="inlineStr">
        <is>
          <t>Religious Conversion — convert 3 rival assets via spore-cult infiltration.</t>
        </is>
      </c>
    </row>
    <row r="19" ht="19" customHeight="1">
      <c r="A19" s="2" t="inlineStr">
        <is>
          <t>Tags</t>
        </is>
      </c>
    </row>
    <row r="20" ht="28" customHeight="1">
      <c r="A20" s="4" t="inlineStr">
        <is>
          <t>Tag</t>
        </is>
      </c>
      <c r="B20" s="4" t="inlineStr">
        <is>
          <t>Effect (see Tags sheet for full text)</t>
        </is>
      </c>
    </row>
    <row r="21">
      <c r="A21" s="5" t="inlineStr">
        <is>
          <t>Hive-Mind (homebrew)</t>
        </is>
      </c>
      <c r="B21" s="5" t="inlineStr">
        <is>
          <t>Faction may transfer HP freely between its assets at the start of each turn.</t>
        </is>
      </c>
    </row>
    <row r="22">
      <c r="A22" s="6" t="inlineStr">
        <is>
          <t>Secretive</t>
        </is>
      </c>
      <c r="B22" s="6" t="inlineStr">
        <is>
          <t>Cunning assets start Stealthed automatically; rivals roll at –2 to detect them.</t>
        </is>
      </c>
    </row>
    <row r="23">
      <c r="A23" s="5" t="inlineStr">
        <is>
          <t>Subterranean (homebrew, Veins-of-the-Earth)</t>
        </is>
      </c>
      <c r="B23" s="5" t="inlineStr">
        <is>
          <t>All assets ignore the first point of movement cost while inside the Veins / Underdark. Surface operations cost +1 Treasure.</t>
        </is>
      </c>
    </row>
    <row r="25" ht="19" customHeight="1">
      <c r="A25" s="2" t="inlineStr">
        <is>
          <t>Starting Assets</t>
        </is>
      </c>
    </row>
    <row r="26" ht="28" customHeight="1">
      <c r="A26" s="4" t="inlineStr">
        <is>
          <t>Asset</t>
        </is>
      </c>
      <c r="B26" s="4" t="inlineStr">
        <is>
          <t>Type</t>
        </is>
      </c>
      <c r="C26" s="4" t="inlineStr">
        <is>
          <t>Cost</t>
        </is>
      </c>
      <c r="D26" s="4" t="inlineStr">
        <is>
          <t>HP</t>
        </is>
      </c>
      <c r="E26" s="4" t="inlineStr">
        <is>
          <t>Attack</t>
        </is>
      </c>
      <c r="F26" s="4" t="inlineStr">
        <is>
          <t>Damage</t>
        </is>
      </c>
      <c r="G26" s="4" t="inlineStr">
        <is>
          <t>Counter</t>
        </is>
      </c>
      <c r="H26" s="4" t="inlineStr">
        <is>
          <t>Min Attr</t>
        </is>
      </c>
      <c r="I26" s="4" t="inlineStr">
        <is>
          <t>Traits</t>
        </is>
      </c>
      <c r="J26" s="4" t="inlineStr">
        <is>
          <t>Location</t>
        </is>
      </c>
    </row>
    <row r="27">
      <c r="A27" s="5" t="inlineStr">
        <is>
          <t>Cult Network</t>
        </is>
      </c>
      <c r="B27" s="5" t="inlineStr">
        <is>
          <t>Cunning</t>
        </is>
      </c>
      <c r="C27" s="5" t="n">
        <v>8</v>
      </c>
      <c r="D27" s="5" t="n">
        <v>10</v>
      </c>
      <c r="E27" s="5" t="inlineStr">
        <is>
          <t>C vs C</t>
        </is>
      </c>
      <c r="F27" s="5" t="inlineStr">
        <is>
          <t>1d10</t>
        </is>
      </c>
      <c r="G27" s="5" t="inlineStr">
        <is>
          <t>—</t>
        </is>
      </c>
      <c r="H27" s="5" t="inlineStr">
        <is>
          <t>Cunning 4</t>
        </is>
      </c>
      <c r="I27" s="5" t="inlineStr">
        <is>
          <t>Subtle, Special</t>
        </is>
      </c>
      <c r="J27" s="5" t="inlineStr">
        <is>
          <t>Nox</t>
        </is>
      </c>
    </row>
    <row r="28">
      <c r="A28" s="6" t="inlineStr">
        <is>
          <t>Spore-Wreaths</t>
        </is>
      </c>
      <c r="B28" s="6" t="inlineStr">
        <is>
          <t>Cunning</t>
        </is>
      </c>
      <c r="C28" s="6" t="n">
        <v>4</v>
      </c>
      <c r="D28" s="6" t="n">
        <v>6</v>
      </c>
      <c r="E28" s="6" t="inlineStr">
        <is>
          <t>C vs C</t>
        </is>
      </c>
      <c r="F28" s="6" t="inlineStr">
        <is>
          <t>1d6</t>
        </is>
      </c>
      <c r="G28" s="6" t="inlineStr">
        <is>
          <t>—</t>
        </is>
      </c>
      <c r="H28" s="6" t="inlineStr">
        <is>
          <t>Cunning 2</t>
        </is>
      </c>
      <c r="I28" s="6" t="inlineStr">
        <is>
          <t>Stealthed, Subtle</t>
        </is>
      </c>
      <c r="J28" s="6" t="inlineStr">
        <is>
          <t>Nox</t>
        </is>
      </c>
    </row>
    <row r="29">
      <c r="A29" s="5" t="inlineStr">
        <is>
          <t>Spore-Maddened Slaves</t>
        </is>
      </c>
      <c r="B29" s="5" t="inlineStr">
        <is>
          <t>Force</t>
        </is>
      </c>
      <c r="C29" s="5" t="n">
        <v>3</v>
      </c>
      <c r="D29" s="5" t="n">
        <v>8</v>
      </c>
      <c r="E29" s="5" t="inlineStr">
        <is>
          <t>F vs F</t>
        </is>
      </c>
      <c r="F29" s="5" t="inlineStr">
        <is>
          <t>1d6</t>
        </is>
      </c>
      <c r="G29" s="5" t="inlineStr">
        <is>
          <t>—</t>
        </is>
      </c>
      <c r="H29" s="5" t="inlineStr">
        <is>
          <t>Force 2</t>
        </is>
      </c>
      <c r="I29" s="5" t="inlineStr">
        <is>
          <t>Fanatic</t>
        </is>
      </c>
      <c r="J29" s="5" t="inlineStr">
        <is>
          <t>Genet</t>
        </is>
      </c>
    </row>
    <row r="30">
      <c r="A30" s="6" t="inlineStr">
        <is>
          <t>Spore-Cathedral Choir</t>
        </is>
      </c>
      <c r="B30" s="6" t="inlineStr">
        <is>
          <t>Magic</t>
        </is>
      </c>
      <c r="C30" s="6" t="n">
        <v>8</v>
      </c>
      <c r="D30" s="6" t="n">
        <v>10</v>
      </c>
      <c r="E30" s="6" t="inlineStr">
        <is>
          <t>M vs M</t>
        </is>
      </c>
      <c r="F30" s="6" t="inlineStr">
        <is>
          <t>1d8</t>
        </is>
      </c>
      <c r="G30" s="6" t="inlineStr">
        <is>
          <t>1d6</t>
        </is>
      </c>
      <c r="H30" s="6" t="inlineStr">
        <is>
          <t>Magic 3</t>
        </is>
      </c>
      <c r="I30" s="6" t="inlineStr">
        <is>
          <t>Special</t>
        </is>
      </c>
      <c r="J30" s="6" t="inlineStr">
        <is>
          <t>Genet</t>
        </is>
      </c>
    </row>
    <row r="31">
      <c r="A31" s="5" t="inlineStr">
        <is>
          <t>Death Cult</t>
        </is>
      </c>
      <c r="B31" s="5" t="inlineStr">
        <is>
          <t>Magic</t>
        </is>
      </c>
      <c r="C31" s="5" t="n">
        <v>6</v>
      </c>
      <c r="D31" s="5" t="n">
        <v>8</v>
      </c>
      <c r="E31" s="5" t="inlineStr">
        <is>
          <t>M vs C</t>
        </is>
      </c>
      <c r="F31" s="5" t="inlineStr">
        <is>
          <t>1d6</t>
        </is>
      </c>
      <c r="G31" s="5" t="inlineStr">
        <is>
          <t>1d4</t>
        </is>
      </c>
      <c r="H31" s="5" t="inlineStr">
        <is>
          <t>Magic 2</t>
        </is>
      </c>
      <c r="I31" s="5" t="inlineStr">
        <is>
          <t>Subtle</t>
        </is>
      </c>
      <c r="J31" s="5" t="inlineStr">
        <is>
          <t>Genet</t>
        </is>
      </c>
    </row>
    <row r="32">
      <c r="A32" s="6" t="inlineStr">
        <is>
          <t>Hedge Mages</t>
        </is>
      </c>
      <c r="B32" s="6" t="inlineStr">
        <is>
          <t>Magic</t>
        </is>
      </c>
      <c r="C32" s="6" t="n">
        <v>4</v>
      </c>
      <c r="D32" s="6" t="n">
        <v>6</v>
      </c>
      <c r="E32" s="6" t="inlineStr">
        <is>
          <t>M vs M</t>
        </is>
      </c>
      <c r="F32" s="6" t="inlineStr">
        <is>
          <t>1d6</t>
        </is>
      </c>
      <c r="G32" s="6" t="inlineStr">
        <is>
          <t>1d4</t>
        </is>
      </c>
      <c r="H32" s="6" t="inlineStr">
        <is>
          <t>Magic 1</t>
        </is>
      </c>
      <c r="I32" s="6" t="inlineStr">
        <is>
          <t>—</t>
        </is>
      </c>
      <c r="J32" s="6" t="inlineStr">
        <is>
          <t>Genet</t>
        </is>
      </c>
    </row>
    <row r="34" ht="19" customHeight="1">
      <c r="A34" s="2" t="inlineStr">
        <is>
          <t>Turn Log (fill as you play)</t>
        </is>
      </c>
    </row>
    <row r="35" ht="28" customHeight="1">
      <c r="A35" s="4" t="inlineStr">
        <is>
          <t>Turn</t>
        </is>
      </c>
      <c r="B35" s="4" t="inlineStr">
        <is>
          <t>Treasure +/–</t>
        </is>
      </c>
      <c r="C35" s="4" t="inlineStr">
        <is>
          <t>Action Taken</t>
        </is>
      </c>
      <c r="D35" s="4" t="inlineStr">
        <is>
          <t>Result</t>
        </is>
      </c>
      <c r="E35" s="4" t="inlineStr">
        <is>
          <t>Goal Progress</t>
        </is>
      </c>
      <c r="F35" s="4" t="inlineStr">
        <is>
          <t>Notes</t>
        </is>
      </c>
    </row>
    <row r="36">
      <c r="A36" s="5" t="n">
        <v>1</v>
      </c>
      <c r="B36" s="5" t="inlineStr"/>
      <c r="C36" s="5" t="inlineStr"/>
      <c r="D36" s="5" t="inlineStr"/>
      <c r="E36" s="5" t="inlineStr"/>
      <c r="F36" s="5" t="inlineStr"/>
    </row>
    <row r="37">
      <c r="A37" s="6" t="n">
        <v>2</v>
      </c>
      <c r="B37" s="6" t="inlineStr"/>
      <c r="C37" s="6" t="inlineStr"/>
      <c r="D37" s="6" t="inlineStr"/>
      <c r="E37" s="6" t="inlineStr"/>
      <c r="F37" s="6" t="inlineStr"/>
    </row>
    <row r="38">
      <c r="A38" s="5" t="n">
        <v>3</v>
      </c>
      <c r="B38" s="5" t="inlineStr"/>
      <c r="C38" s="5" t="inlineStr"/>
      <c r="D38" s="5" t="inlineStr"/>
      <c r="E38" s="5" t="inlineStr"/>
      <c r="F38" s="5" t="inlineStr"/>
    </row>
    <row r="39">
      <c r="A39" s="6" t="n">
        <v>4</v>
      </c>
      <c r="B39" s="6" t="inlineStr"/>
      <c r="C39" s="6" t="inlineStr"/>
      <c r="D39" s="6" t="inlineStr"/>
      <c r="E39" s="6" t="inlineStr"/>
      <c r="F39" s="6" t="inlineStr"/>
    </row>
    <row r="40">
      <c r="A40" s="5" t="n">
        <v>5</v>
      </c>
      <c r="B40" s="5" t="inlineStr"/>
      <c r="C40" s="5" t="inlineStr"/>
      <c r="D40" s="5" t="inlineStr"/>
      <c r="E40" s="5" t="inlineStr"/>
      <c r="F40" s="5" t="inlineStr"/>
    </row>
    <row r="41">
      <c r="A41" s="6" t="n">
        <v>6</v>
      </c>
      <c r="B41" s="6" t="inlineStr"/>
      <c r="C41" s="6" t="inlineStr"/>
      <c r="D41" s="6" t="inlineStr"/>
      <c r="E41" s="6" t="inlineStr"/>
      <c r="F41" s="6" t="inlineStr"/>
    </row>
    <row r="42">
      <c r="A42" s="5" t="n">
        <v>7</v>
      </c>
      <c r="B42" s="5" t="inlineStr"/>
      <c r="C42" s="5" t="inlineStr"/>
      <c r="D42" s="5" t="inlineStr"/>
      <c r="E42" s="5" t="inlineStr"/>
      <c r="F42" s="5" t="inlineStr"/>
    </row>
    <row r="43">
      <c r="A43" s="6" t="n">
        <v>8</v>
      </c>
      <c r="B43" s="6" t="inlineStr"/>
      <c r="C43" s="6" t="inlineStr"/>
      <c r="D43" s="6" t="inlineStr"/>
      <c r="E43" s="6" t="inlineStr"/>
      <c r="F43" s="6" t="inlineStr"/>
    </row>
    <row r="44">
      <c r="A44" s="5" t="n">
        <v>9</v>
      </c>
      <c r="B44" s="5" t="inlineStr"/>
      <c r="C44" s="5" t="inlineStr"/>
      <c r="D44" s="5" t="inlineStr"/>
      <c r="E44" s="5" t="inlineStr"/>
      <c r="F44" s="5" t="inlineStr"/>
    </row>
    <row r="45">
      <c r="A45" s="6" t="n">
        <v>10</v>
      </c>
      <c r="B45" s="6" t="inlineStr"/>
      <c r="C45" s="6" t="inlineStr"/>
      <c r="D45" s="6" t="inlineStr"/>
      <c r="E45" s="6" t="inlineStr"/>
      <c r="F45" s="6" t="inlineStr"/>
    </row>
    <row r="46">
      <c r="A46" s="5" t="n">
        <v>11</v>
      </c>
      <c r="B46" s="5" t="inlineStr"/>
      <c r="C46" s="5" t="inlineStr"/>
      <c r="D46" s="5" t="inlineStr"/>
      <c r="E46" s="5" t="inlineStr"/>
      <c r="F46" s="5" t="inlineStr"/>
    </row>
    <row r="47">
      <c r="A47" s="6" t="n">
        <v>12</v>
      </c>
      <c r="B47" s="6" t="inlineStr"/>
      <c r="C47" s="6" t="inlineStr"/>
      <c r="D47" s="6" t="inlineStr"/>
      <c r="E47" s="6" t="inlineStr"/>
      <c r="F47" s="6" t="inlineStr"/>
    </row>
  </sheetData>
  <mergeCells count="7">
    <mergeCell ref="A2:F2"/>
    <mergeCell ref="A19:F19"/>
    <mergeCell ref="A1:F1"/>
    <mergeCell ref="A5:F5"/>
    <mergeCell ref="A34:F34"/>
    <mergeCell ref="A3:F3"/>
    <mergeCell ref="A25:F25"/>
  </mergeCells>
  <pageMargins left="0.75" right="0.75" top="1" bottom="1" header="0.5" footer="0.5"/>
</worksheet>
</file>

<file path=xl/worksheets/sheet12.xml><?xml version="1.0" encoding="utf-8"?>
<worksheet xmlns="http://schemas.openxmlformats.org/spreadsheetml/2006/main">
  <sheetPr>
    <tabColor rgb="0070AD47"/>
    <outlinePr summaryBelow="1" summaryRight="1"/>
    <pageSetUpPr/>
  </sheetPr>
  <dimension ref="A1:J48"/>
  <sheetViews>
    <sheetView workbookViewId="0">
      <selection activeCell="A1" sqref="A1"/>
    </sheetView>
  </sheetViews>
  <sheetFormatPr baseColWidth="8" defaultRowHeight="15"/>
  <cols>
    <col width="6" customWidth="1" min="1" max="1"/>
    <col width="14" customWidth="1" min="2" max="2"/>
    <col width="28" customWidth="1" min="3" max="3"/>
    <col width="28" customWidth="1" min="4" max="4"/>
    <col width="22" customWidth="1" min="5" max="5"/>
    <col width="40" customWidth="1" min="6" max="6"/>
    <col width="10" customWidth="1" min="7" max="7"/>
    <col width="14" customWidth="1" min="8" max="8"/>
    <col width="22" customWidth="1" min="9" max="9"/>
    <col width="30" customWidth="1" min="10" max="10"/>
  </cols>
  <sheetData>
    <row r="1" ht="24" customHeight="1">
      <c r="A1" s="1" t="inlineStr">
        <is>
          <t>The dErO</t>
        </is>
      </c>
    </row>
    <row r="2" ht="18" customHeight="1">
      <c r="A2" s="13" t="inlineStr">
        <is>
          <t>Crystal-paranoiacs with rays for every paranoia.</t>
        </is>
      </c>
    </row>
    <row r="3" ht="70" customHeight="1">
      <c r="A3" s="14" t="inlineStr">
        <is>
          <t>Chaotic gnome-things with bulbous heads, fevered conspiracies, and a half-mad techno-arcane proficiency built from crystals, brass, and stolen lightning. They are watching you. They are listening. They are also wrong about most of it.</t>
        </is>
      </c>
    </row>
    <row r="5" ht="19" customHeight="1">
      <c r="A5" s="2" t="inlineStr">
        <is>
          <t>Attributes &amp; State</t>
        </is>
      </c>
    </row>
    <row r="6" ht="28" customHeight="1">
      <c r="A6" s="4" t="inlineStr">
        <is>
          <t>Field</t>
        </is>
      </c>
      <c r="B6" s="4" t="inlineStr">
        <is>
          <t>Value</t>
        </is>
      </c>
    </row>
    <row r="7">
      <c r="A7" s="5" t="inlineStr">
        <is>
          <t>Force</t>
        </is>
      </c>
      <c r="B7" s="5" t="n">
        <v>3</v>
      </c>
    </row>
    <row r="8">
      <c r="A8" s="6" t="inlineStr">
        <is>
          <t>Cunning</t>
        </is>
      </c>
      <c r="B8" s="6" t="n">
        <v>4</v>
      </c>
    </row>
    <row r="9">
      <c r="A9" s="5" t="inlineStr">
        <is>
          <t>Wealth</t>
        </is>
      </c>
      <c r="B9" s="5" t="n">
        <v>2</v>
      </c>
    </row>
    <row r="10">
      <c r="A10" s="6" t="inlineStr">
        <is>
          <t>Magic</t>
        </is>
      </c>
      <c r="B10" s="6" t="n">
        <v>3</v>
      </c>
    </row>
    <row r="11">
      <c r="A11" s="5" t="inlineStr">
        <is>
          <t>HP (4 + sum of attributes)</t>
        </is>
      </c>
      <c r="B11" s="5" t="n">
        <v>16</v>
      </c>
    </row>
    <row r="12">
      <c r="A12" s="6" t="inlineStr">
        <is>
          <t>Current Treasure</t>
        </is>
      </c>
      <c r="B12" s="6" t="n">
        <v>4</v>
      </c>
    </row>
    <row r="13">
      <c r="A13" s="5" t="inlineStr">
        <is>
          <t>Treasure income / turn (W/2 + F/4 + C/4, round up)</t>
        </is>
      </c>
      <c r="B13" s="5" t="n">
        <v>3</v>
      </c>
    </row>
    <row r="14">
      <c r="A14" s="6" t="inlineStr">
        <is>
          <t>Tier (FacXP / 8 rounded down + 1)</t>
        </is>
      </c>
      <c r="B14" s="6" t="n">
        <v>1</v>
      </c>
    </row>
    <row r="15">
      <c r="A15" s="5" t="inlineStr">
        <is>
          <t>FacXP banked</t>
        </is>
      </c>
      <c r="B15" s="5" t="n">
        <v>0</v>
      </c>
    </row>
    <row r="16">
      <c r="A16" s="6" t="inlineStr">
        <is>
          <t>Home / HQ location</t>
        </is>
      </c>
      <c r="B16" s="6" t="inlineStr">
        <is>
          <t>No fixed capital — cells across the Veins</t>
        </is>
      </c>
    </row>
    <row r="17">
      <c r="A17" s="5" t="inlineStr">
        <is>
          <t>Current Goal</t>
        </is>
      </c>
      <c r="B17" s="5" t="inlineStr">
        <is>
          <t>Tech / Magic Expansion — reach Magic 4 by stealing crystal lore.</t>
        </is>
      </c>
    </row>
    <row r="19" ht="19" customHeight="1">
      <c r="A19" s="2" t="inlineStr">
        <is>
          <t>Tags</t>
        </is>
      </c>
    </row>
    <row r="20" ht="28" customHeight="1">
      <c r="A20" s="4" t="inlineStr">
        <is>
          <t>Tag</t>
        </is>
      </c>
      <c r="B20" s="4" t="inlineStr">
        <is>
          <t>Effect (see Tags sheet for full text)</t>
        </is>
      </c>
    </row>
    <row r="21">
      <c r="A21" s="5" t="inlineStr">
        <is>
          <t>Innovative</t>
        </is>
      </c>
      <c r="B21" s="5" t="inlineStr">
        <is>
          <t>May create one asset with a special, GM-approved homebrew rule each Tier.</t>
        </is>
      </c>
    </row>
    <row r="22">
      <c r="A22" s="6" t="inlineStr">
        <is>
          <t>Mage-Killers</t>
        </is>
      </c>
      <c r="B22" s="6" t="inlineStr">
        <is>
          <t>All assets gain +2 damage vs Magic assets. May not own Magic assets.</t>
        </is>
      </c>
    </row>
    <row r="23">
      <c r="A23" s="5" t="inlineStr">
        <is>
          <t>Secretive</t>
        </is>
      </c>
      <c r="B23" s="5" t="inlineStr">
        <is>
          <t>Cunning assets start Stealthed automatically; rivals roll at –2 to detect them.</t>
        </is>
      </c>
    </row>
    <row r="25" ht="19" customHeight="1">
      <c r="A25" s="2" t="inlineStr">
        <is>
          <t>Starting Assets</t>
        </is>
      </c>
    </row>
    <row r="26" ht="28" customHeight="1">
      <c r="A26" s="4" t="inlineStr">
        <is>
          <t>Asset</t>
        </is>
      </c>
      <c r="B26" s="4" t="inlineStr">
        <is>
          <t>Type</t>
        </is>
      </c>
      <c r="C26" s="4" t="inlineStr">
        <is>
          <t>Cost</t>
        </is>
      </c>
      <c r="D26" s="4" t="inlineStr">
        <is>
          <t>HP</t>
        </is>
      </c>
      <c r="E26" s="4" t="inlineStr">
        <is>
          <t>Attack</t>
        </is>
      </c>
      <c r="F26" s="4" t="inlineStr">
        <is>
          <t>Damage</t>
        </is>
      </c>
      <c r="G26" s="4" t="inlineStr">
        <is>
          <t>Counter</t>
        </is>
      </c>
      <c r="H26" s="4" t="inlineStr">
        <is>
          <t>Min Attr</t>
        </is>
      </c>
      <c r="I26" s="4" t="inlineStr">
        <is>
          <t>Traits</t>
        </is>
      </c>
      <c r="J26" s="4" t="inlineStr">
        <is>
          <t>Location</t>
        </is>
      </c>
    </row>
    <row r="27">
      <c r="A27" s="5" t="inlineStr">
        <is>
          <t>Eyes Everywhere</t>
        </is>
      </c>
      <c r="B27" s="5" t="inlineStr">
        <is>
          <t>Cunning</t>
        </is>
      </c>
      <c r="C27" s="5" t="n">
        <v>8</v>
      </c>
      <c r="D27" s="5" t="n">
        <v>10</v>
      </c>
      <c r="E27" s="5" t="inlineStr">
        <is>
          <t>C vs C</t>
        </is>
      </c>
      <c r="F27" s="5" t="inlineStr">
        <is>
          <t>1d8</t>
        </is>
      </c>
      <c r="G27" s="5" t="inlineStr">
        <is>
          <t>1d4</t>
        </is>
      </c>
      <c r="H27" s="5" t="inlineStr">
        <is>
          <t>Cunning 4</t>
        </is>
      </c>
      <c r="I27" s="5" t="inlineStr">
        <is>
          <t>Stealthed</t>
        </is>
      </c>
      <c r="J27" s="5" t="inlineStr">
        <is>
          <t>Nox</t>
        </is>
      </c>
    </row>
    <row r="28">
      <c r="A28" s="6" t="inlineStr">
        <is>
          <t>Crystal Mines</t>
        </is>
      </c>
      <c r="B28" s="6" t="inlineStr">
        <is>
          <t>Wealth</t>
        </is>
      </c>
      <c r="C28" s="6" t="n">
        <v>6</v>
      </c>
      <c r="D28" s="6" t="n">
        <v>10</v>
      </c>
      <c r="E28" s="6" t="inlineStr">
        <is>
          <t>W vs F</t>
        </is>
      </c>
      <c r="F28" s="6" t="inlineStr">
        <is>
          <t>1d6</t>
        </is>
      </c>
      <c r="G28" s="6" t="inlineStr">
        <is>
          <t>1d6</t>
        </is>
      </c>
      <c r="H28" s="6" t="inlineStr">
        <is>
          <t>Wealth 3, Magic 1</t>
        </is>
      </c>
      <c r="I28" s="6" t="inlineStr">
        <is>
          <t>Special</t>
        </is>
      </c>
      <c r="J28" s="6" t="inlineStr">
        <is>
          <t>Isles of the Imprisoned Moon</t>
        </is>
      </c>
    </row>
    <row r="29">
      <c r="A29" s="5" t="inlineStr">
        <is>
          <t>Crystal Lancers</t>
        </is>
      </c>
      <c r="B29" s="5" t="inlineStr">
        <is>
          <t>Force</t>
        </is>
      </c>
      <c r="C29" s="5" t="n">
        <v>8</v>
      </c>
      <c r="D29" s="5" t="n">
        <v>8</v>
      </c>
      <c r="E29" s="5" t="inlineStr">
        <is>
          <t>F vs M</t>
        </is>
      </c>
      <c r="F29" s="5" t="inlineStr">
        <is>
          <t>1d10</t>
        </is>
      </c>
      <c r="G29" s="5" t="inlineStr">
        <is>
          <t>1d6</t>
        </is>
      </c>
      <c r="H29" s="5" t="inlineStr">
        <is>
          <t>Force 3, Magic 1</t>
        </is>
      </c>
      <c r="I29" s="5" t="inlineStr">
        <is>
          <t>Special</t>
        </is>
      </c>
      <c r="J29" s="5" t="inlineStr">
        <is>
          <t>Isles of the Imprisoned Moon</t>
        </is>
      </c>
    </row>
    <row r="30">
      <c r="A30" s="6" t="inlineStr">
        <is>
          <t>Bribed Officials</t>
        </is>
      </c>
      <c r="B30" s="6" t="inlineStr">
        <is>
          <t>Cunning</t>
        </is>
      </c>
      <c r="C30" s="6" t="n">
        <v>6</v>
      </c>
      <c r="D30" s="6" t="n">
        <v>8</v>
      </c>
      <c r="E30" s="6" t="inlineStr">
        <is>
          <t>C vs C</t>
        </is>
      </c>
      <c r="F30" s="6" t="inlineStr">
        <is>
          <t>1d6</t>
        </is>
      </c>
      <c r="G30" s="6" t="inlineStr">
        <is>
          <t>—</t>
        </is>
      </c>
      <c r="H30" s="6" t="inlineStr">
        <is>
          <t>Cunning 3</t>
        </is>
      </c>
      <c r="I30" s="6" t="inlineStr">
        <is>
          <t>Subtle, Special</t>
        </is>
      </c>
      <c r="J30" s="6" t="inlineStr">
        <is>
          <t>Nox</t>
        </is>
      </c>
    </row>
    <row r="31">
      <c r="A31" s="5" t="inlineStr">
        <is>
          <t>Demonologists</t>
        </is>
      </c>
      <c r="B31" s="5" t="inlineStr">
        <is>
          <t>Magic</t>
        </is>
      </c>
      <c r="C31" s="5" t="n">
        <v>10</v>
      </c>
      <c r="D31" s="5" t="n">
        <v>8</v>
      </c>
      <c r="E31" s="5" t="inlineStr">
        <is>
          <t>M vs M</t>
        </is>
      </c>
      <c r="F31" s="5" t="inlineStr">
        <is>
          <t>1d10</t>
        </is>
      </c>
      <c r="G31" s="5" t="inlineStr">
        <is>
          <t>1d4</t>
        </is>
      </c>
      <c r="H31" s="5" t="inlineStr">
        <is>
          <t>Magic 3</t>
        </is>
      </c>
      <c r="I31" s="5" t="inlineStr">
        <is>
          <t>Subtle</t>
        </is>
      </c>
      <c r="J31" s="5" t="inlineStr">
        <is>
          <t>Isles of the Imprisoned Moon</t>
        </is>
      </c>
    </row>
    <row r="32">
      <c r="A32" s="6" t="inlineStr">
        <is>
          <t>Magic Workshop</t>
        </is>
      </c>
      <c r="B32" s="6" t="inlineStr">
        <is>
          <t>Magic</t>
        </is>
      </c>
      <c r="C32" s="6" t="n">
        <v>8</v>
      </c>
      <c r="D32" s="6" t="n">
        <v>10</v>
      </c>
      <c r="E32" s="6" t="inlineStr">
        <is>
          <t>—</t>
        </is>
      </c>
      <c r="F32" s="6" t="inlineStr">
        <is>
          <t>—</t>
        </is>
      </c>
      <c r="G32" s="6" t="inlineStr">
        <is>
          <t>—</t>
        </is>
      </c>
      <c r="H32" s="6" t="inlineStr">
        <is>
          <t>Magic 2</t>
        </is>
      </c>
      <c r="I32" s="6" t="inlineStr">
        <is>
          <t>Special</t>
        </is>
      </c>
      <c r="J32" s="6" t="inlineStr">
        <is>
          <t>Isles of the Imprisoned Moon</t>
        </is>
      </c>
    </row>
    <row r="33">
      <c r="A33" s="5" t="inlineStr">
        <is>
          <t>Whisper Network</t>
        </is>
      </c>
      <c r="B33" s="5" t="inlineStr">
        <is>
          <t>Cunning</t>
        </is>
      </c>
      <c r="C33" s="5" t="n">
        <v>4</v>
      </c>
      <c r="D33" s="5" t="n">
        <v>6</v>
      </c>
      <c r="E33" s="5" t="inlineStr">
        <is>
          <t>C vs C</t>
        </is>
      </c>
      <c r="F33" s="5" t="inlineStr">
        <is>
          <t>1d6</t>
        </is>
      </c>
      <c r="G33" s="5" t="inlineStr">
        <is>
          <t>1d4</t>
        </is>
      </c>
      <c r="H33" s="5" t="inlineStr">
        <is>
          <t>Cunning 2</t>
        </is>
      </c>
      <c r="I33" s="5" t="inlineStr">
        <is>
          <t>Subtle</t>
        </is>
      </c>
      <c r="J33" s="5" t="inlineStr">
        <is>
          <t>Nox</t>
        </is>
      </c>
    </row>
    <row r="35" ht="19" customHeight="1">
      <c r="A35" s="2" t="inlineStr">
        <is>
          <t>Turn Log (fill as you play)</t>
        </is>
      </c>
    </row>
    <row r="36" ht="28" customHeight="1">
      <c r="A36" s="4" t="inlineStr">
        <is>
          <t>Turn</t>
        </is>
      </c>
      <c r="B36" s="4" t="inlineStr">
        <is>
          <t>Treasure +/–</t>
        </is>
      </c>
      <c r="C36" s="4" t="inlineStr">
        <is>
          <t>Action Taken</t>
        </is>
      </c>
      <c r="D36" s="4" t="inlineStr">
        <is>
          <t>Result</t>
        </is>
      </c>
      <c r="E36" s="4" t="inlineStr">
        <is>
          <t>Goal Progress</t>
        </is>
      </c>
      <c r="F36" s="4" t="inlineStr">
        <is>
          <t>Notes</t>
        </is>
      </c>
    </row>
    <row r="37">
      <c r="A37" s="5" t="n">
        <v>1</v>
      </c>
      <c r="B37" s="5" t="inlineStr"/>
      <c r="C37" s="5" t="inlineStr"/>
      <c r="D37" s="5" t="inlineStr"/>
      <c r="E37" s="5" t="inlineStr"/>
      <c r="F37" s="5" t="inlineStr"/>
    </row>
    <row r="38">
      <c r="A38" s="6" t="n">
        <v>2</v>
      </c>
      <c r="B38" s="6" t="inlineStr"/>
      <c r="C38" s="6" t="inlineStr"/>
      <c r="D38" s="6" t="inlineStr"/>
      <c r="E38" s="6" t="inlineStr"/>
      <c r="F38" s="6" t="inlineStr"/>
    </row>
    <row r="39">
      <c r="A39" s="5" t="n">
        <v>3</v>
      </c>
      <c r="B39" s="5" t="inlineStr"/>
      <c r="C39" s="5" t="inlineStr"/>
      <c r="D39" s="5" t="inlineStr"/>
      <c r="E39" s="5" t="inlineStr"/>
      <c r="F39" s="5" t="inlineStr"/>
    </row>
    <row r="40">
      <c r="A40" s="6" t="n">
        <v>4</v>
      </c>
      <c r="B40" s="6" t="inlineStr"/>
      <c r="C40" s="6" t="inlineStr"/>
      <c r="D40" s="6" t="inlineStr"/>
      <c r="E40" s="6" t="inlineStr"/>
      <c r="F40" s="6" t="inlineStr"/>
    </row>
    <row r="41">
      <c r="A41" s="5" t="n">
        <v>5</v>
      </c>
      <c r="B41" s="5" t="inlineStr"/>
      <c r="C41" s="5" t="inlineStr"/>
      <c r="D41" s="5" t="inlineStr"/>
      <c r="E41" s="5" t="inlineStr"/>
      <c r="F41" s="5" t="inlineStr"/>
    </row>
    <row r="42">
      <c r="A42" s="6" t="n">
        <v>6</v>
      </c>
      <c r="B42" s="6" t="inlineStr"/>
      <c r="C42" s="6" t="inlineStr"/>
      <c r="D42" s="6" t="inlineStr"/>
      <c r="E42" s="6" t="inlineStr"/>
      <c r="F42" s="6" t="inlineStr"/>
    </row>
    <row r="43">
      <c r="A43" s="5" t="n">
        <v>7</v>
      </c>
      <c r="B43" s="5" t="inlineStr"/>
      <c r="C43" s="5" t="inlineStr"/>
      <c r="D43" s="5" t="inlineStr"/>
      <c r="E43" s="5" t="inlineStr"/>
      <c r="F43" s="5" t="inlineStr"/>
    </row>
    <row r="44">
      <c r="A44" s="6" t="n">
        <v>8</v>
      </c>
      <c r="B44" s="6" t="inlineStr"/>
      <c r="C44" s="6" t="inlineStr"/>
      <c r="D44" s="6" t="inlineStr"/>
      <c r="E44" s="6" t="inlineStr"/>
      <c r="F44" s="6" t="inlineStr"/>
    </row>
    <row r="45">
      <c r="A45" s="5" t="n">
        <v>9</v>
      </c>
      <c r="B45" s="5" t="inlineStr"/>
      <c r="C45" s="5" t="inlineStr"/>
      <c r="D45" s="5" t="inlineStr"/>
      <c r="E45" s="5" t="inlineStr"/>
      <c r="F45" s="5" t="inlineStr"/>
    </row>
    <row r="46">
      <c r="A46" s="6" t="n">
        <v>10</v>
      </c>
      <c r="B46" s="6" t="inlineStr"/>
      <c r="C46" s="6" t="inlineStr"/>
      <c r="D46" s="6" t="inlineStr"/>
      <c r="E46" s="6" t="inlineStr"/>
      <c r="F46" s="6" t="inlineStr"/>
    </row>
    <row r="47">
      <c r="A47" s="5" t="n">
        <v>11</v>
      </c>
      <c r="B47" s="5" t="inlineStr"/>
      <c r="C47" s="5" t="inlineStr"/>
      <c r="D47" s="5" t="inlineStr"/>
      <c r="E47" s="5" t="inlineStr"/>
      <c r="F47" s="5" t="inlineStr"/>
    </row>
    <row r="48">
      <c r="A48" s="6" t="n">
        <v>12</v>
      </c>
      <c r="B48" s="6" t="inlineStr"/>
      <c r="C48" s="6" t="inlineStr"/>
      <c r="D48" s="6" t="inlineStr"/>
      <c r="E48" s="6" t="inlineStr"/>
      <c r="F48" s="6" t="inlineStr"/>
    </row>
  </sheetData>
  <mergeCells count="7">
    <mergeCell ref="A2:F2"/>
    <mergeCell ref="A19:F19"/>
    <mergeCell ref="A1:F1"/>
    <mergeCell ref="A5:F5"/>
    <mergeCell ref="A35:F35"/>
    <mergeCell ref="A3:F3"/>
    <mergeCell ref="A25:F25"/>
  </mergeCells>
  <pageMargins left="0.75" right="0.75" top="1" bottom="1" header="0.5" footer="0.5"/>
</worksheet>
</file>

<file path=xl/worksheets/sheet13.xml><?xml version="1.0" encoding="utf-8"?>
<worksheet xmlns="http://schemas.openxmlformats.org/spreadsheetml/2006/main">
  <sheetPr>
    <tabColor rgb="0070AD47"/>
    <outlinePr summaryBelow="1" summaryRight="1"/>
    <pageSetUpPr/>
  </sheetPr>
  <dimension ref="A1:J48"/>
  <sheetViews>
    <sheetView workbookViewId="0">
      <selection activeCell="A1" sqref="A1"/>
    </sheetView>
  </sheetViews>
  <sheetFormatPr baseColWidth="8" defaultRowHeight="15"/>
  <cols>
    <col width="6" customWidth="1" min="1" max="1"/>
    <col width="14" customWidth="1" min="2" max="2"/>
    <col width="28" customWidth="1" min="3" max="3"/>
    <col width="28" customWidth="1" min="4" max="4"/>
    <col width="22" customWidth="1" min="5" max="5"/>
    <col width="40" customWidth="1" min="6" max="6"/>
    <col width="10" customWidth="1" min="7" max="7"/>
    <col width="14" customWidth="1" min="8" max="8"/>
    <col width="22" customWidth="1" min="9" max="9"/>
    <col width="30" customWidth="1" min="10" max="10"/>
  </cols>
  <sheetData>
    <row r="1" ht="24" customHeight="1">
      <c r="A1" s="1" t="inlineStr">
        <is>
          <t>The Dvargir</t>
        </is>
      </c>
    </row>
    <row r="2" ht="18" customHeight="1">
      <c r="A2" s="13" t="inlineStr">
        <is>
          <t>Eugenic engine-dwarves, distilled into work.</t>
        </is>
      </c>
    </row>
    <row r="3" ht="70" customHeight="1">
      <c r="A3" s="14" t="inlineStr">
        <is>
          <t>Distilled deep-dwarves whose society is one enormous, generations-long work programme — refining themselves toward perfect, automaton-like efficiency. They view all of reality as a substrate on which work is to be performed.</t>
        </is>
      </c>
    </row>
    <row r="5" ht="19" customHeight="1">
      <c r="A5" s="2" t="inlineStr">
        <is>
          <t>Attributes &amp; State</t>
        </is>
      </c>
    </row>
    <row r="6" ht="28" customHeight="1">
      <c r="A6" s="4" t="inlineStr">
        <is>
          <t>Field</t>
        </is>
      </c>
      <c r="B6" s="4" t="inlineStr">
        <is>
          <t>Value</t>
        </is>
      </c>
    </row>
    <row r="7">
      <c r="A7" s="5" t="inlineStr">
        <is>
          <t>Force</t>
        </is>
      </c>
      <c r="B7" s="5" t="n">
        <v>5</v>
      </c>
    </row>
    <row r="8">
      <c r="A8" s="6" t="inlineStr">
        <is>
          <t>Cunning</t>
        </is>
      </c>
      <c r="B8" s="6" t="n">
        <v>2</v>
      </c>
    </row>
    <row r="9">
      <c r="A9" s="5" t="inlineStr">
        <is>
          <t>Wealth</t>
        </is>
      </c>
      <c r="B9" s="5" t="n">
        <v>4</v>
      </c>
    </row>
    <row r="10">
      <c r="A10" s="6" t="inlineStr">
        <is>
          <t>Magic</t>
        </is>
      </c>
      <c r="B10" s="6" t="n">
        <v>1</v>
      </c>
    </row>
    <row r="11">
      <c r="A11" s="5" t="inlineStr">
        <is>
          <t>HP (4 + sum of attributes)</t>
        </is>
      </c>
      <c r="B11" s="5" t="n">
        <v>16</v>
      </c>
    </row>
    <row r="12">
      <c r="A12" s="6" t="inlineStr">
        <is>
          <t>Current Treasure</t>
        </is>
      </c>
      <c r="B12" s="6" t="n">
        <v>7</v>
      </c>
    </row>
    <row r="13">
      <c r="A13" s="5" t="inlineStr">
        <is>
          <t>Treasure income / turn (W/2 + F/4 + C/4, round up)</t>
        </is>
      </c>
      <c r="B13" s="5" t="n">
        <v>4</v>
      </c>
    </row>
    <row r="14">
      <c r="A14" s="6" t="inlineStr">
        <is>
          <t>Tier (FacXP / 8 rounded down + 1)</t>
        </is>
      </c>
      <c r="B14" s="6" t="n">
        <v>1</v>
      </c>
    </row>
    <row r="15">
      <c r="A15" s="5" t="inlineStr">
        <is>
          <t>FacXP banked</t>
        </is>
      </c>
      <c r="B15" s="5" t="n">
        <v>0</v>
      </c>
    </row>
    <row r="16">
      <c r="A16" s="6" t="inlineStr">
        <is>
          <t>Home / HQ location</t>
        </is>
      </c>
      <c r="B16" s="6" t="inlineStr">
        <is>
          <t>Comorragh</t>
        </is>
      </c>
    </row>
    <row r="17">
      <c r="A17" s="5" t="inlineStr">
        <is>
          <t>Current Goal</t>
        </is>
      </c>
      <c r="B17" s="5" t="inlineStr">
        <is>
          <t>Commercial Expansion — 8 Treasure of surplus income via forgework.</t>
        </is>
      </c>
    </row>
    <row r="19" ht="19" customHeight="1">
      <c r="A19" s="2" t="inlineStr">
        <is>
          <t>Tags</t>
        </is>
      </c>
    </row>
    <row r="20" ht="28" customHeight="1">
      <c r="A20" s="4" t="inlineStr">
        <is>
          <t>Tag</t>
        </is>
      </c>
      <c r="B20" s="4" t="inlineStr">
        <is>
          <t>Effect (see Tags sheet for full text)</t>
        </is>
      </c>
    </row>
    <row r="21">
      <c r="A21" s="5" t="inlineStr">
        <is>
          <t>Industrious</t>
        </is>
      </c>
      <c r="B21" s="5" t="inlineStr">
        <is>
          <t>Workshops, Smiths and Magic Workshops generate +1 additional Treasure per turn.</t>
        </is>
      </c>
    </row>
    <row r="22">
      <c r="A22" s="6" t="inlineStr">
        <is>
          <t>Eugenic Cult</t>
        </is>
      </c>
      <c r="B22" s="6" t="inlineStr">
        <is>
          <t>Once per turn, may sacrifice one 1-cost asset to add +1 to a different asset's HP permanently.</t>
        </is>
      </c>
    </row>
    <row r="23">
      <c r="A23" s="5" t="inlineStr">
        <is>
          <t>Tyrannical</t>
        </is>
      </c>
      <c r="B23" s="5" t="inlineStr">
        <is>
          <t>Force assets cost 1 less to upkeep, but assets generate –1 Treasure per turn from unrest.</t>
        </is>
      </c>
    </row>
    <row r="25" ht="19" customHeight="1">
      <c r="A25" s="2" t="inlineStr">
        <is>
          <t>Starting Assets</t>
        </is>
      </c>
    </row>
    <row r="26" ht="28" customHeight="1">
      <c r="A26" s="4" t="inlineStr">
        <is>
          <t>Asset</t>
        </is>
      </c>
      <c r="B26" s="4" t="inlineStr">
        <is>
          <t>Type</t>
        </is>
      </c>
      <c r="C26" s="4" t="inlineStr">
        <is>
          <t>Cost</t>
        </is>
      </c>
      <c r="D26" s="4" t="inlineStr">
        <is>
          <t>HP</t>
        </is>
      </c>
      <c r="E26" s="4" t="inlineStr">
        <is>
          <t>Attack</t>
        </is>
      </c>
      <c r="F26" s="4" t="inlineStr">
        <is>
          <t>Damage</t>
        </is>
      </c>
      <c r="G26" s="4" t="inlineStr">
        <is>
          <t>Counter</t>
        </is>
      </c>
      <c r="H26" s="4" t="inlineStr">
        <is>
          <t>Min Attr</t>
        </is>
      </c>
      <c r="I26" s="4" t="inlineStr">
        <is>
          <t>Traits</t>
        </is>
      </c>
      <c r="J26" s="4" t="inlineStr">
        <is>
          <t>Location</t>
        </is>
      </c>
    </row>
    <row r="27">
      <c r="A27" s="5" t="inlineStr">
        <is>
          <t>Heavy Infantry</t>
        </is>
      </c>
      <c r="B27" s="5" t="inlineStr">
        <is>
          <t>Force</t>
        </is>
      </c>
      <c r="C27" s="5" t="n">
        <v>6</v>
      </c>
      <c r="D27" s="5" t="n">
        <v>10</v>
      </c>
      <c r="E27" s="5" t="inlineStr">
        <is>
          <t>F vs F</t>
        </is>
      </c>
      <c r="F27" s="5" t="inlineStr">
        <is>
          <t>1d10</t>
        </is>
      </c>
      <c r="G27" s="5" t="inlineStr">
        <is>
          <t>1d8</t>
        </is>
      </c>
      <c r="H27" s="5" t="inlineStr">
        <is>
          <t>Force 3</t>
        </is>
      </c>
      <c r="I27" s="5" t="inlineStr">
        <is>
          <t>—</t>
        </is>
      </c>
      <c r="J27" s="5" t="inlineStr">
        <is>
          <t>Comorragh</t>
        </is>
      </c>
    </row>
    <row r="28">
      <c r="A28" s="6" t="inlineStr">
        <is>
          <t>Workshops</t>
        </is>
      </c>
      <c r="B28" s="6" t="inlineStr">
        <is>
          <t>Wealth</t>
        </is>
      </c>
      <c r="C28" s="6" t="n">
        <v>4</v>
      </c>
      <c r="D28" s="6" t="n">
        <v>6</v>
      </c>
      <c r="E28" s="6" t="inlineStr">
        <is>
          <t>—</t>
        </is>
      </c>
      <c r="F28" s="6" t="inlineStr">
        <is>
          <t>—</t>
        </is>
      </c>
      <c r="G28" s="6" t="inlineStr">
        <is>
          <t>—</t>
        </is>
      </c>
      <c r="H28" s="6" t="inlineStr">
        <is>
          <t>Wealth 2</t>
        </is>
      </c>
      <c r="I28" s="6" t="inlineStr">
        <is>
          <t>Special</t>
        </is>
      </c>
      <c r="J28" s="6" t="inlineStr">
        <is>
          <t>Comorragh</t>
        </is>
      </c>
    </row>
    <row r="29">
      <c r="A29" s="5" t="inlineStr">
        <is>
          <t>Smiths</t>
        </is>
      </c>
      <c r="B29" s="5" t="inlineStr">
        <is>
          <t>Wealth</t>
        </is>
      </c>
      <c r="C29" s="5" t="n">
        <v>2</v>
      </c>
      <c r="D29" s="5" t="n">
        <v>6</v>
      </c>
      <c r="E29" s="5" t="inlineStr">
        <is>
          <t>W vs F</t>
        </is>
      </c>
      <c r="F29" s="5" t="inlineStr">
        <is>
          <t>1d6</t>
        </is>
      </c>
      <c r="G29" s="5" t="inlineStr">
        <is>
          <t>1d4</t>
        </is>
      </c>
      <c r="H29" s="5" t="inlineStr">
        <is>
          <t>Wealth 2</t>
        </is>
      </c>
      <c r="I29" s="5" t="inlineStr">
        <is>
          <t>—</t>
        </is>
      </c>
      <c r="J29" s="5" t="inlineStr">
        <is>
          <t>Comorragh</t>
        </is>
      </c>
    </row>
    <row r="30">
      <c r="A30" s="6" t="inlineStr">
        <is>
          <t>Slavers</t>
        </is>
      </c>
      <c r="B30" s="6" t="inlineStr">
        <is>
          <t>Wealth</t>
        </is>
      </c>
      <c r="C30" s="6" t="n">
        <v>6</v>
      </c>
      <c r="D30" s="6" t="n">
        <v>8</v>
      </c>
      <c r="E30" s="6" t="inlineStr">
        <is>
          <t>W vs F</t>
        </is>
      </c>
      <c r="F30" s="6" t="inlineStr">
        <is>
          <t>1d8</t>
        </is>
      </c>
      <c r="G30" s="6" t="inlineStr">
        <is>
          <t>1d4</t>
        </is>
      </c>
      <c r="H30" s="6" t="inlineStr">
        <is>
          <t>Wealth 3</t>
        </is>
      </c>
      <c r="I30" s="6" t="inlineStr">
        <is>
          <t>—</t>
        </is>
      </c>
      <c r="J30" s="6" t="inlineStr">
        <is>
          <t>Nox</t>
        </is>
      </c>
    </row>
    <row r="31">
      <c r="A31" s="5" t="inlineStr">
        <is>
          <t>Armoury</t>
        </is>
      </c>
      <c r="B31" s="5" t="inlineStr">
        <is>
          <t>Force</t>
        </is>
      </c>
      <c r="C31" s="5" t="n">
        <v>4</v>
      </c>
      <c r="D31" s="5" t="n">
        <v>6</v>
      </c>
      <c r="E31" s="5" t="inlineStr">
        <is>
          <t>—</t>
        </is>
      </c>
      <c r="F31" s="5" t="inlineStr">
        <is>
          <t>—</t>
        </is>
      </c>
      <c r="G31" s="5" t="inlineStr">
        <is>
          <t>—</t>
        </is>
      </c>
      <c r="H31" s="5" t="inlineStr">
        <is>
          <t>Force 2</t>
        </is>
      </c>
      <c r="I31" s="5" t="inlineStr">
        <is>
          <t>Special</t>
        </is>
      </c>
      <c r="J31" s="5" t="inlineStr">
        <is>
          <t>Comorragh</t>
        </is>
      </c>
    </row>
    <row r="32">
      <c r="A32" s="6" t="inlineStr">
        <is>
          <t>Citadel</t>
        </is>
      </c>
      <c r="B32" s="6" t="inlineStr">
        <is>
          <t>Force</t>
        </is>
      </c>
      <c r="C32" s="6" t="n">
        <v>12</v>
      </c>
      <c r="D32" s="6" t="n">
        <v>30</v>
      </c>
      <c r="E32" s="6" t="inlineStr">
        <is>
          <t>—</t>
        </is>
      </c>
      <c r="F32" s="6" t="inlineStr">
        <is>
          <t>—</t>
        </is>
      </c>
      <c r="G32" s="6" t="inlineStr">
        <is>
          <t>1d10</t>
        </is>
      </c>
      <c r="H32" s="6" t="inlineStr">
        <is>
          <t>Force 4</t>
        </is>
      </c>
      <c r="I32" s="6" t="inlineStr">
        <is>
          <t>Action</t>
        </is>
      </c>
      <c r="J32" s="6" t="inlineStr">
        <is>
          <t>Comorragh</t>
        </is>
      </c>
    </row>
    <row r="33">
      <c r="A33" s="5" t="inlineStr">
        <is>
          <t>Tax Collectors</t>
        </is>
      </c>
      <c r="B33" s="5" t="inlineStr">
        <is>
          <t>Wealth</t>
        </is>
      </c>
      <c r="C33" s="5" t="n">
        <v>8</v>
      </c>
      <c r="D33" s="5" t="n">
        <v>10</v>
      </c>
      <c r="E33" s="5" t="inlineStr">
        <is>
          <t>W vs W</t>
        </is>
      </c>
      <c r="F33" s="5" t="inlineStr">
        <is>
          <t>1d8</t>
        </is>
      </c>
      <c r="G33" s="5" t="inlineStr">
        <is>
          <t>1d4</t>
        </is>
      </c>
      <c r="H33" s="5" t="inlineStr">
        <is>
          <t>Wealth 4</t>
        </is>
      </c>
      <c r="I33" s="5" t="inlineStr">
        <is>
          <t>Special</t>
        </is>
      </c>
      <c r="J33" s="5" t="inlineStr">
        <is>
          <t>Nox</t>
        </is>
      </c>
    </row>
    <row r="35" ht="19" customHeight="1">
      <c r="A35" s="2" t="inlineStr">
        <is>
          <t>Turn Log (fill as you play)</t>
        </is>
      </c>
    </row>
    <row r="36" ht="28" customHeight="1">
      <c r="A36" s="4" t="inlineStr">
        <is>
          <t>Turn</t>
        </is>
      </c>
      <c r="B36" s="4" t="inlineStr">
        <is>
          <t>Treasure +/–</t>
        </is>
      </c>
      <c r="C36" s="4" t="inlineStr">
        <is>
          <t>Action Taken</t>
        </is>
      </c>
      <c r="D36" s="4" t="inlineStr">
        <is>
          <t>Result</t>
        </is>
      </c>
      <c r="E36" s="4" t="inlineStr">
        <is>
          <t>Goal Progress</t>
        </is>
      </c>
      <c r="F36" s="4" t="inlineStr">
        <is>
          <t>Notes</t>
        </is>
      </c>
    </row>
    <row r="37">
      <c r="A37" s="5" t="n">
        <v>1</v>
      </c>
      <c r="B37" s="5" t="inlineStr"/>
      <c r="C37" s="5" t="inlineStr"/>
      <c r="D37" s="5" t="inlineStr"/>
      <c r="E37" s="5" t="inlineStr"/>
      <c r="F37" s="5" t="inlineStr"/>
    </row>
    <row r="38">
      <c r="A38" s="6" t="n">
        <v>2</v>
      </c>
      <c r="B38" s="6" t="inlineStr"/>
      <c r="C38" s="6" t="inlineStr"/>
      <c r="D38" s="6" t="inlineStr"/>
      <c r="E38" s="6" t="inlineStr"/>
      <c r="F38" s="6" t="inlineStr"/>
    </row>
    <row r="39">
      <c r="A39" s="5" t="n">
        <v>3</v>
      </c>
      <c r="B39" s="5" t="inlineStr"/>
      <c r="C39" s="5" t="inlineStr"/>
      <c r="D39" s="5" t="inlineStr"/>
      <c r="E39" s="5" t="inlineStr"/>
      <c r="F39" s="5" t="inlineStr"/>
    </row>
    <row r="40">
      <c r="A40" s="6" t="n">
        <v>4</v>
      </c>
      <c r="B40" s="6" t="inlineStr"/>
      <c r="C40" s="6" t="inlineStr"/>
      <c r="D40" s="6" t="inlineStr"/>
      <c r="E40" s="6" t="inlineStr"/>
      <c r="F40" s="6" t="inlineStr"/>
    </row>
    <row r="41">
      <c r="A41" s="5" t="n">
        <v>5</v>
      </c>
      <c r="B41" s="5" t="inlineStr"/>
      <c r="C41" s="5" t="inlineStr"/>
      <c r="D41" s="5" t="inlineStr"/>
      <c r="E41" s="5" t="inlineStr"/>
      <c r="F41" s="5" t="inlineStr"/>
    </row>
    <row r="42">
      <c r="A42" s="6" t="n">
        <v>6</v>
      </c>
      <c r="B42" s="6" t="inlineStr"/>
      <c r="C42" s="6" t="inlineStr"/>
      <c r="D42" s="6" t="inlineStr"/>
      <c r="E42" s="6" t="inlineStr"/>
      <c r="F42" s="6" t="inlineStr"/>
    </row>
    <row r="43">
      <c r="A43" s="5" t="n">
        <v>7</v>
      </c>
      <c r="B43" s="5" t="inlineStr"/>
      <c r="C43" s="5" t="inlineStr"/>
      <c r="D43" s="5" t="inlineStr"/>
      <c r="E43" s="5" t="inlineStr"/>
      <c r="F43" s="5" t="inlineStr"/>
    </row>
    <row r="44">
      <c r="A44" s="6" t="n">
        <v>8</v>
      </c>
      <c r="B44" s="6" t="inlineStr"/>
      <c r="C44" s="6" t="inlineStr"/>
      <c r="D44" s="6" t="inlineStr"/>
      <c r="E44" s="6" t="inlineStr"/>
      <c r="F44" s="6" t="inlineStr"/>
    </row>
    <row r="45">
      <c r="A45" s="5" t="n">
        <v>9</v>
      </c>
      <c r="B45" s="5" t="inlineStr"/>
      <c r="C45" s="5" t="inlineStr"/>
      <c r="D45" s="5" t="inlineStr"/>
      <c r="E45" s="5" t="inlineStr"/>
      <c r="F45" s="5" t="inlineStr"/>
    </row>
    <row r="46">
      <c r="A46" s="6" t="n">
        <v>10</v>
      </c>
      <c r="B46" s="6" t="inlineStr"/>
      <c r="C46" s="6" t="inlineStr"/>
      <c r="D46" s="6" t="inlineStr"/>
      <c r="E46" s="6" t="inlineStr"/>
      <c r="F46" s="6" t="inlineStr"/>
    </row>
    <row r="47">
      <c r="A47" s="5" t="n">
        <v>11</v>
      </c>
      <c r="B47" s="5" t="inlineStr"/>
      <c r="C47" s="5" t="inlineStr"/>
      <c r="D47" s="5" t="inlineStr"/>
      <c r="E47" s="5" t="inlineStr"/>
      <c r="F47" s="5" t="inlineStr"/>
    </row>
    <row r="48">
      <c r="A48" s="6" t="n">
        <v>12</v>
      </c>
      <c r="B48" s="6" t="inlineStr"/>
      <c r="C48" s="6" t="inlineStr"/>
      <c r="D48" s="6" t="inlineStr"/>
      <c r="E48" s="6" t="inlineStr"/>
      <c r="F48" s="6" t="inlineStr"/>
    </row>
  </sheetData>
  <mergeCells count="7">
    <mergeCell ref="A2:F2"/>
    <mergeCell ref="A19:F19"/>
    <mergeCell ref="A1:F1"/>
    <mergeCell ref="A5:F5"/>
    <mergeCell ref="A35:F35"/>
    <mergeCell ref="A3:F3"/>
    <mergeCell ref="A25:F25"/>
  </mergeCells>
  <pageMargins left="0.75" right="0.75" top="1" bottom="1" header="0.5" footer="0.5"/>
</worksheet>
</file>

<file path=xl/worksheets/sheet14.xml><?xml version="1.0" encoding="utf-8"?>
<worksheet xmlns="http://schemas.openxmlformats.org/spreadsheetml/2006/main">
  <sheetPr>
    <tabColor rgb="0070AD47"/>
    <outlinePr summaryBelow="1" summaryRight="1"/>
    <pageSetUpPr/>
  </sheetPr>
  <dimension ref="A1:J48"/>
  <sheetViews>
    <sheetView workbookViewId="0">
      <selection activeCell="A1" sqref="A1"/>
    </sheetView>
  </sheetViews>
  <sheetFormatPr baseColWidth="8" defaultRowHeight="15"/>
  <cols>
    <col width="6" customWidth="1" min="1" max="1"/>
    <col width="14" customWidth="1" min="2" max="2"/>
    <col width="28" customWidth="1" min="3" max="3"/>
    <col width="28" customWidth="1" min="4" max="4"/>
    <col width="22" customWidth="1" min="5" max="5"/>
    <col width="40" customWidth="1" min="6" max="6"/>
    <col width="10" customWidth="1" min="7" max="7"/>
    <col width="14" customWidth="1" min="8" max="8"/>
    <col width="22" customWidth="1" min="9" max="9"/>
    <col width="30" customWidth="1" min="10" max="10"/>
  </cols>
  <sheetData>
    <row r="1" ht="24" customHeight="1">
      <c r="A1" s="1" t="inlineStr">
        <is>
          <t>The Gnonmen</t>
        </is>
      </c>
    </row>
    <row r="2" ht="18" customHeight="1">
      <c r="A2" s="13" t="inlineStr">
        <is>
          <t>Quiet, brave, light-bearing — the only good thing in the dark.</t>
        </is>
      </c>
    </row>
    <row r="3" ht="70" customHeight="1">
      <c r="A3" s="14" t="inlineStr">
        <is>
          <t>Deep gnomes who refuse the Veins' default: despair. They revere small light, the protection of life, and decisive action in the present. Where they pass, for a moment, the dark gets a little less.</t>
        </is>
      </c>
    </row>
    <row r="5" ht="19" customHeight="1">
      <c r="A5" s="2" t="inlineStr">
        <is>
          <t>Attributes &amp; State</t>
        </is>
      </c>
    </row>
    <row r="6" ht="28" customHeight="1">
      <c r="A6" s="4" t="inlineStr">
        <is>
          <t>Field</t>
        </is>
      </c>
      <c r="B6" s="4" t="inlineStr">
        <is>
          <t>Value</t>
        </is>
      </c>
    </row>
    <row r="7">
      <c r="A7" s="5" t="inlineStr">
        <is>
          <t>Force</t>
        </is>
      </c>
      <c r="B7" s="5" t="n">
        <v>3</v>
      </c>
    </row>
    <row r="8">
      <c r="A8" s="6" t="inlineStr">
        <is>
          <t>Cunning</t>
        </is>
      </c>
      <c r="B8" s="6" t="n">
        <v>3</v>
      </c>
    </row>
    <row r="9">
      <c r="A9" s="5" t="inlineStr">
        <is>
          <t>Wealth</t>
        </is>
      </c>
      <c r="B9" s="5" t="n">
        <v>2</v>
      </c>
    </row>
    <row r="10">
      <c r="A10" s="6" t="inlineStr">
        <is>
          <t>Magic</t>
        </is>
      </c>
      <c r="B10" s="6" t="n">
        <v>2</v>
      </c>
    </row>
    <row r="11">
      <c r="A11" s="5" t="inlineStr">
        <is>
          <t>HP (4 + sum of attributes)</t>
        </is>
      </c>
      <c r="B11" s="5" t="n">
        <v>14</v>
      </c>
    </row>
    <row r="12">
      <c r="A12" s="6" t="inlineStr">
        <is>
          <t>Current Treasure</t>
        </is>
      </c>
      <c r="B12" s="6" t="n">
        <v>4</v>
      </c>
    </row>
    <row r="13">
      <c r="A13" s="5" t="inlineStr">
        <is>
          <t>Treasure income / turn (W/2 + F/4 + C/4, round up)</t>
        </is>
      </c>
      <c r="B13" s="5" t="n">
        <v>3</v>
      </c>
    </row>
    <row r="14">
      <c r="A14" s="6" t="inlineStr">
        <is>
          <t>Tier (FacXP / 8 rounded down + 1)</t>
        </is>
      </c>
      <c r="B14" s="6" t="n">
        <v>1</v>
      </c>
    </row>
    <row r="15">
      <c r="A15" s="5" t="inlineStr">
        <is>
          <t>FacXP banked</t>
        </is>
      </c>
      <c r="B15" s="5" t="n">
        <v>0</v>
      </c>
    </row>
    <row r="16">
      <c r="A16" s="6" t="inlineStr">
        <is>
          <t>Home / HQ location</t>
        </is>
      </c>
      <c r="B16" s="6" t="inlineStr">
        <is>
          <t>Heliotropolis</t>
        </is>
      </c>
    </row>
    <row r="17">
      <c r="A17" s="5" t="inlineStr">
        <is>
          <t>Current Goal</t>
        </is>
      </c>
      <c r="B17" s="5" t="inlineStr">
        <is>
          <t>Peaceable Kingdom — survive 3 turns without losing an asset.</t>
        </is>
      </c>
    </row>
    <row r="19" ht="19" customHeight="1">
      <c r="A19" s="2" t="inlineStr">
        <is>
          <t>Tags</t>
        </is>
      </c>
    </row>
    <row r="20" ht="28" customHeight="1">
      <c r="A20" s="4" t="inlineStr">
        <is>
          <t>Tag</t>
        </is>
      </c>
      <c r="B20" s="4" t="inlineStr">
        <is>
          <t>Effect (see Tags sheet for full text)</t>
        </is>
      </c>
    </row>
    <row r="21">
      <c r="A21" s="5" t="inlineStr">
        <is>
          <t>Concordat</t>
        </is>
      </c>
      <c r="B21" s="5" t="inlineStr">
        <is>
          <t>Faction has long-standing treaties; gains +1 Treasure for every other faction it has not attacked in the last 4 turns.</t>
        </is>
      </c>
    </row>
    <row r="22">
      <c r="A22" s="6" t="inlineStr">
        <is>
          <t>Xenophiles</t>
        </is>
      </c>
      <c r="B22" s="6" t="inlineStr">
        <is>
          <t>Diplomatic Exchange actions never cost Treasure and the faction gains +1 FacXP on completing trade goals.</t>
        </is>
      </c>
    </row>
    <row r="23">
      <c r="A23" s="5" t="inlineStr">
        <is>
          <t>Subterranean (homebrew, Veins-of-the-Earth)</t>
        </is>
      </c>
      <c r="B23" s="5" t="inlineStr">
        <is>
          <t>All assets ignore the first point of movement cost while inside the Veins / Underdark. Surface operations cost +1 Treasure.</t>
        </is>
      </c>
    </row>
    <row r="25" ht="19" customHeight="1">
      <c r="A25" s="2" t="inlineStr">
        <is>
          <t>Starting Assets</t>
        </is>
      </c>
    </row>
    <row r="26" ht="28" customHeight="1">
      <c r="A26" s="4" t="inlineStr">
        <is>
          <t>Asset</t>
        </is>
      </c>
      <c r="B26" s="4" t="inlineStr">
        <is>
          <t>Type</t>
        </is>
      </c>
      <c r="C26" s="4" t="inlineStr">
        <is>
          <t>Cost</t>
        </is>
      </c>
      <c r="D26" s="4" t="inlineStr">
        <is>
          <t>HP</t>
        </is>
      </c>
      <c r="E26" s="4" t="inlineStr">
        <is>
          <t>Attack</t>
        </is>
      </c>
      <c r="F26" s="4" t="inlineStr">
        <is>
          <t>Damage</t>
        </is>
      </c>
      <c r="G26" s="4" t="inlineStr">
        <is>
          <t>Counter</t>
        </is>
      </c>
      <c r="H26" s="4" t="inlineStr">
        <is>
          <t>Min Attr</t>
        </is>
      </c>
      <c r="I26" s="4" t="inlineStr">
        <is>
          <t>Traits</t>
        </is>
      </c>
      <c r="J26" s="4" t="inlineStr">
        <is>
          <t>Location</t>
        </is>
      </c>
    </row>
    <row r="27">
      <c r="A27" s="5" t="inlineStr">
        <is>
          <t>Lantern Wardens</t>
        </is>
      </c>
      <c r="B27" s="5" t="inlineStr">
        <is>
          <t>Force</t>
        </is>
      </c>
      <c r="C27" s="5" t="n">
        <v>5</v>
      </c>
      <c r="D27" s="5" t="n">
        <v>8</v>
      </c>
      <c r="E27" s="5" t="inlineStr">
        <is>
          <t>F vs M</t>
        </is>
      </c>
      <c r="F27" s="5" t="inlineStr">
        <is>
          <t>1d8</t>
        </is>
      </c>
      <c r="G27" s="5" t="inlineStr">
        <is>
          <t>1d4</t>
        </is>
      </c>
      <c r="H27" s="5" t="inlineStr">
        <is>
          <t>Force 3</t>
        </is>
      </c>
      <c r="I27" s="5" t="inlineStr">
        <is>
          <t>Special</t>
        </is>
      </c>
      <c r="J27" s="5" t="inlineStr">
        <is>
          <t>Heliotropolis</t>
        </is>
      </c>
    </row>
    <row r="28">
      <c r="A28" s="6" t="inlineStr">
        <is>
          <t>Tunnel Crawlers</t>
        </is>
      </c>
      <c r="B28" s="6" t="inlineStr">
        <is>
          <t>Force</t>
        </is>
      </c>
      <c r="C28" s="6" t="n">
        <v>3</v>
      </c>
      <c r="D28" s="6" t="n">
        <v>6</v>
      </c>
      <c r="E28" s="6" t="inlineStr">
        <is>
          <t>F vs F</t>
        </is>
      </c>
      <c r="F28" s="6" t="inlineStr">
        <is>
          <t>1d6</t>
        </is>
      </c>
      <c r="G28" s="6" t="inlineStr">
        <is>
          <t>1d4</t>
        </is>
      </c>
      <c r="H28" s="6" t="inlineStr">
        <is>
          <t>Force 2</t>
        </is>
      </c>
      <c r="I28" s="6" t="inlineStr">
        <is>
          <t>Mobile</t>
        </is>
      </c>
      <c r="J28" s="6" t="inlineStr">
        <is>
          <t>Nox</t>
        </is>
      </c>
    </row>
    <row r="29">
      <c r="A29" s="5" t="inlineStr">
        <is>
          <t>Spirit Walkers</t>
        </is>
      </c>
      <c r="B29" s="5" t="inlineStr">
        <is>
          <t>Magic</t>
        </is>
      </c>
      <c r="C29" s="5" t="n">
        <v>6</v>
      </c>
      <c r="D29" s="5" t="n">
        <v>6</v>
      </c>
      <c r="E29" s="5" t="inlineStr">
        <is>
          <t>M vs C</t>
        </is>
      </c>
      <c r="F29" s="5" t="inlineStr">
        <is>
          <t>1d6</t>
        </is>
      </c>
      <c r="G29" s="5" t="inlineStr">
        <is>
          <t>—</t>
        </is>
      </c>
      <c r="H29" s="5" t="inlineStr">
        <is>
          <t>Magic 2</t>
        </is>
      </c>
      <c r="I29" s="5" t="inlineStr">
        <is>
          <t>Stealthed, Subtle</t>
        </is>
      </c>
      <c r="J29" s="5" t="inlineStr">
        <is>
          <t>Heliotropolis</t>
        </is>
      </c>
    </row>
    <row r="30">
      <c r="A30" s="6" t="inlineStr">
        <is>
          <t>Mushroom Fields</t>
        </is>
      </c>
      <c r="B30" s="6" t="inlineStr">
        <is>
          <t>Wealth</t>
        </is>
      </c>
      <c r="C30" s="6" t="n">
        <v>2</v>
      </c>
      <c r="D30" s="6" t="n">
        <v>6</v>
      </c>
      <c r="E30" s="6" t="inlineStr">
        <is>
          <t>W vs W</t>
        </is>
      </c>
      <c r="F30" s="6" t="inlineStr">
        <is>
          <t>1d4</t>
        </is>
      </c>
      <c r="G30" s="6" t="inlineStr">
        <is>
          <t>1d4</t>
        </is>
      </c>
      <c r="H30" s="6" t="inlineStr">
        <is>
          <t>Wealth 2</t>
        </is>
      </c>
      <c r="I30" s="6" t="inlineStr">
        <is>
          <t>Special</t>
        </is>
      </c>
      <c r="J30" s="6" t="inlineStr">
        <is>
          <t>Heliotropolis</t>
        </is>
      </c>
    </row>
    <row r="31">
      <c r="A31" s="5" t="inlineStr">
        <is>
          <t>Hearth-Lantern Shrine</t>
        </is>
      </c>
      <c r="B31" s="5" t="inlineStr">
        <is>
          <t>Magic</t>
        </is>
      </c>
      <c r="C31" s="5" t="n">
        <v>5</v>
      </c>
      <c r="D31" s="5" t="n">
        <v>8</v>
      </c>
      <c r="E31" s="5" t="inlineStr">
        <is>
          <t>M vs M</t>
        </is>
      </c>
      <c r="F31" s="5" t="inlineStr">
        <is>
          <t>1d6</t>
        </is>
      </c>
      <c r="G31" s="5" t="inlineStr">
        <is>
          <t>1d4</t>
        </is>
      </c>
      <c r="H31" s="5" t="inlineStr">
        <is>
          <t>Magic 2</t>
        </is>
      </c>
      <c r="I31" s="5" t="inlineStr">
        <is>
          <t>Special</t>
        </is>
      </c>
      <c r="J31" s="5" t="inlineStr">
        <is>
          <t>Heliotropolis</t>
        </is>
      </c>
    </row>
    <row r="32">
      <c r="A32" s="6" t="inlineStr">
        <is>
          <t>Lightless Cartographers</t>
        </is>
      </c>
      <c r="B32" s="6" t="inlineStr">
        <is>
          <t>Cunning</t>
        </is>
      </c>
      <c r="C32" s="6" t="n">
        <v>3</v>
      </c>
      <c r="D32" s="6" t="n">
        <v>4</v>
      </c>
      <c r="E32" s="6" t="inlineStr">
        <is>
          <t>C vs C</t>
        </is>
      </c>
      <c r="F32" s="6" t="inlineStr">
        <is>
          <t>1d4</t>
        </is>
      </c>
      <c r="G32" s="6" t="inlineStr">
        <is>
          <t>—</t>
        </is>
      </c>
      <c r="H32" s="6" t="inlineStr">
        <is>
          <t>Cunning 1</t>
        </is>
      </c>
      <c r="I32" s="6" t="inlineStr">
        <is>
          <t>Stealthed, Mobile</t>
        </is>
      </c>
      <c r="J32" s="6" t="inlineStr">
        <is>
          <t>Nox</t>
        </is>
      </c>
    </row>
    <row r="33">
      <c r="A33" s="5" t="inlineStr">
        <is>
          <t>Border Fort</t>
        </is>
      </c>
      <c r="B33" s="5" t="inlineStr">
        <is>
          <t>Force</t>
        </is>
      </c>
      <c r="C33" s="5" t="n">
        <v>6</v>
      </c>
      <c r="D33" s="5" t="n">
        <v>20</v>
      </c>
      <c r="E33" s="5" t="inlineStr">
        <is>
          <t>—</t>
        </is>
      </c>
      <c r="F33" s="5" t="inlineStr">
        <is>
          <t>—</t>
        </is>
      </c>
      <c r="G33" s="5" t="inlineStr">
        <is>
          <t>1d6</t>
        </is>
      </c>
      <c r="H33" s="5" t="inlineStr">
        <is>
          <t>Force 3</t>
        </is>
      </c>
      <c r="I33" s="5" t="inlineStr">
        <is>
          <t>Action</t>
        </is>
      </c>
      <c r="J33" s="5" t="inlineStr">
        <is>
          <t>Heliotropolis</t>
        </is>
      </c>
    </row>
    <row r="35" ht="19" customHeight="1">
      <c r="A35" s="2" t="inlineStr">
        <is>
          <t>Turn Log (fill as you play)</t>
        </is>
      </c>
    </row>
    <row r="36" ht="28" customHeight="1">
      <c r="A36" s="4" t="inlineStr">
        <is>
          <t>Turn</t>
        </is>
      </c>
      <c r="B36" s="4" t="inlineStr">
        <is>
          <t>Treasure +/–</t>
        </is>
      </c>
      <c r="C36" s="4" t="inlineStr">
        <is>
          <t>Action Taken</t>
        </is>
      </c>
      <c r="D36" s="4" t="inlineStr">
        <is>
          <t>Result</t>
        </is>
      </c>
      <c r="E36" s="4" t="inlineStr">
        <is>
          <t>Goal Progress</t>
        </is>
      </c>
      <c r="F36" s="4" t="inlineStr">
        <is>
          <t>Notes</t>
        </is>
      </c>
    </row>
    <row r="37">
      <c r="A37" s="5" t="n">
        <v>1</v>
      </c>
      <c r="B37" s="5" t="inlineStr"/>
      <c r="C37" s="5" t="inlineStr"/>
      <c r="D37" s="5" t="inlineStr"/>
      <c r="E37" s="5" t="inlineStr"/>
      <c r="F37" s="5" t="inlineStr"/>
    </row>
    <row r="38">
      <c r="A38" s="6" t="n">
        <v>2</v>
      </c>
      <c r="B38" s="6" t="inlineStr"/>
      <c r="C38" s="6" t="inlineStr"/>
      <c r="D38" s="6" t="inlineStr"/>
      <c r="E38" s="6" t="inlineStr"/>
      <c r="F38" s="6" t="inlineStr"/>
    </row>
    <row r="39">
      <c r="A39" s="5" t="n">
        <v>3</v>
      </c>
      <c r="B39" s="5" t="inlineStr"/>
      <c r="C39" s="5" t="inlineStr"/>
      <c r="D39" s="5" t="inlineStr"/>
      <c r="E39" s="5" t="inlineStr"/>
      <c r="F39" s="5" t="inlineStr"/>
    </row>
    <row r="40">
      <c r="A40" s="6" t="n">
        <v>4</v>
      </c>
      <c r="B40" s="6" t="inlineStr"/>
      <c r="C40" s="6" t="inlineStr"/>
      <c r="D40" s="6" t="inlineStr"/>
      <c r="E40" s="6" t="inlineStr"/>
      <c r="F40" s="6" t="inlineStr"/>
    </row>
    <row r="41">
      <c r="A41" s="5" t="n">
        <v>5</v>
      </c>
      <c r="B41" s="5" t="inlineStr"/>
      <c r="C41" s="5" t="inlineStr"/>
      <c r="D41" s="5" t="inlineStr"/>
      <c r="E41" s="5" t="inlineStr"/>
      <c r="F41" s="5" t="inlineStr"/>
    </row>
    <row r="42">
      <c r="A42" s="6" t="n">
        <v>6</v>
      </c>
      <c r="B42" s="6" t="inlineStr"/>
      <c r="C42" s="6" t="inlineStr"/>
      <c r="D42" s="6" t="inlineStr"/>
      <c r="E42" s="6" t="inlineStr"/>
      <c r="F42" s="6" t="inlineStr"/>
    </row>
    <row r="43">
      <c r="A43" s="5" t="n">
        <v>7</v>
      </c>
      <c r="B43" s="5" t="inlineStr"/>
      <c r="C43" s="5" t="inlineStr"/>
      <c r="D43" s="5" t="inlineStr"/>
      <c r="E43" s="5" t="inlineStr"/>
      <c r="F43" s="5" t="inlineStr"/>
    </row>
    <row r="44">
      <c r="A44" s="6" t="n">
        <v>8</v>
      </c>
      <c r="B44" s="6" t="inlineStr"/>
      <c r="C44" s="6" t="inlineStr"/>
      <c r="D44" s="6" t="inlineStr"/>
      <c r="E44" s="6" t="inlineStr"/>
      <c r="F44" s="6" t="inlineStr"/>
    </row>
    <row r="45">
      <c r="A45" s="5" t="n">
        <v>9</v>
      </c>
      <c r="B45" s="5" t="inlineStr"/>
      <c r="C45" s="5" t="inlineStr"/>
      <c r="D45" s="5" t="inlineStr"/>
      <c r="E45" s="5" t="inlineStr"/>
      <c r="F45" s="5" t="inlineStr"/>
    </row>
    <row r="46">
      <c r="A46" s="6" t="n">
        <v>10</v>
      </c>
      <c r="B46" s="6" t="inlineStr"/>
      <c r="C46" s="6" t="inlineStr"/>
      <c r="D46" s="6" t="inlineStr"/>
      <c r="E46" s="6" t="inlineStr"/>
      <c r="F46" s="6" t="inlineStr"/>
    </row>
    <row r="47">
      <c r="A47" s="5" t="n">
        <v>11</v>
      </c>
      <c r="B47" s="5" t="inlineStr"/>
      <c r="C47" s="5" t="inlineStr"/>
      <c r="D47" s="5" t="inlineStr"/>
      <c r="E47" s="5" t="inlineStr"/>
      <c r="F47" s="5" t="inlineStr"/>
    </row>
    <row r="48">
      <c r="A48" s="6" t="n">
        <v>12</v>
      </c>
      <c r="B48" s="6" t="inlineStr"/>
      <c r="C48" s="6" t="inlineStr"/>
      <c r="D48" s="6" t="inlineStr"/>
      <c r="E48" s="6" t="inlineStr"/>
      <c r="F48" s="6" t="inlineStr"/>
    </row>
  </sheetData>
  <mergeCells count="7">
    <mergeCell ref="A2:F2"/>
    <mergeCell ref="A19:F19"/>
    <mergeCell ref="A1:F1"/>
    <mergeCell ref="A5:F5"/>
    <mergeCell ref="A35:F35"/>
    <mergeCell ref="A3:F3"/>
    <mergeCell ref="A25:F25"/>
  </mergeCells>
  <pageMargins left="0.75" right="0.75" top="1" bottom="1" header="0.5" footer="0.5"/>
</worksheet>
</file>

<file path=xl/worksheets/sheet15.xml><?xml version="1.0" encoding="utf-8"?>
<worksheet xmlns="http://schemas.openxmlformats.org/spreadsheetml/2006/main">
  <sheetPr>
    <tabColor rgb="0070AD47"/>
    <outlinePr summaryBelow="1" summaryRight="1"/>
    <pageSetUpPr/>
  </sheetPr>
  <dimension ref="A1:J47"/>
  <sheetViews>
    <sheetView workbookViewId="0">
      <selection activeCell="A1" sqref="A1"/>
    </sheetView>
  </sheetViews>
  <sheetFormatPr baseColWidth="8" defaultRowHeight="15"/>
  <cols>
    <col width="6" customWidth="1" min="1" max="1"/>
    <col width="14" customWidth="1" min="2" max="2"/>
    <col width="28" customWidth="1" min="3" max="3"/>
    <col width="28" customWidth="1" min="4" max="4"/>
    <col width="22" customWidth="1" min="5" max="5"/>
    <col width="40" customWidth="1" min="6" max="6"/>
    <col width="10" customWidth="1" min="7" max="7"/>
    <col width="14" customWidth="1" min="8" max="8"/>
    <col width="22" customWidth="1" min="9" max="9"/>
    <col width="30" customWidth="1" min="10" max="10"/>
  </cols>
  <sheetData>
    <row r="1" ht="24" customHeight="1">
      <c r="A1" s="1" t="inlineStr">
        <is>
          <t>The Substratals</t>
        </is>
      </c>
    </row>
    <row r="2" ht="18" customHeight="1">
      <c r="A2" s="13" t="inlineStr">
        <is>
          <t>Earth-elementals more conscious than your summoning intended.</t>
        </is>
      </c>
    </row>
    <row r="3" ht="70" customHeight="1">
      <c r="A3" s="14" t="inlineStr">
        <is>
          <t>Things you accidentally call up when you cast Earth Elemental too close to the actual source. They have politics. They have grudges. They are very, very old and they do not see human-scale conflict so much as remember it later, slowly.</t>
        </is>
      </c>
    </row>
    <row r="5" ht="19" customHeight="1">
      <c r="A5" s="2" t="inlineStr">
        <is>
          <t>Attributes &amp; State</t>
        </is>
      </c>
    </row>
    <row r="6" ht="28" customHeight="1">
      <c r="A6" s="4" t="inlineStr">
        <is>
          <t>Field</t>
        </is>
      </c>
      <c r="B6" s="4" t="inlineStr">
        <is>
          <t>Value</t>
        </is>
      </c>
    </row>
    <row r="7">
      <c r="A7" s="5" t="inlineStr">
        <is>
          <t>Force</t>
        </is>
      </c>
      <c r="B7" s="5" t="n">
        <v>6</v>
      </c>
    </row>
    <row r="8">
      <c r="A8" s="6" t="inlineStr">
        <is>
          <t>Cunning</t>
        </is>
      </c>
      <c r="B8" s="6" t="n">
        <v>1</v>
      </c>
    </row>
    <row r="9">
      <c r="A9" s="5" t="inlineStr">
        <is>
          <t>Wealth</t>
        </is>
      </c>
      <c r="B9" s="5" t="n">
        <v>1</v>
      </c>
    </row>
    <row r="10">
      <c r="A10" s="6" t="inlineStr">
        <is>
          <t>Magic</t>
        </is>
      </c>
      <c r="B10" s="6" t="n">
        <v>5</v>
      </c>
    </row>
    <row r="11">
      <c r="A11" s="5" t="inlineStr">
        <is>
          <t>HP (4 + sum of attributes)</t>
        </is>
      </c>
      <c r="B11" s="5" t="n">
        <v>17</v>
      </c>
    </row>
    <row r="12">
      <c r="A12" s="6" t="inlineStr">
        <is>
          <t>Current Treasure</t>
        </is>
      </c>
      <c r="B12" s="6" t="n">
        <v>3</v>
      </c>
    </row>
    <row r="13">
      <c r="A13" s="5" t="inlineStr">
        <is>
          <t>Treasure income / turn (W/2 + F/4 + C/4, round up)</t>
        </is>
      </c>
      <c r="B13" s="5" t="n">
        <v>3</v>
      </c>
    </row>
    <row r="14">
      <c r="A14" s="6" t="inlineStr">
        <is>
          <t>Tier (FacXP / 8 rounded down + 1)</t>
        </is>
      </c>
      <c r="B14" s="6" t="n">
        <v>1</v>
      </c>
    </row>
    <row r="15">
      <c r="A15" s="5" t="inlineStr">
        <is>
          <t>FacXP banked</t>
        </is>
      </c>
      <c r="B15" s="5" t="n">
        <v>0</v>
      </c>
    </row>
    <row r="16">
      <c r="A16" s="6" t="inlineStr">
        <is>
          <t>Home / HQ location</t>
        </is>
      </c>
      <c r="B16" s="6" t="inlineStr">
        <is>
          <t>The Core</t>
        </is>
      </c>
    </row>
    <row r="17">
      <c r="A17" s="5" t="inlineStr">
        <is>
          <t>Current Goal</t>
        </is>
      </c>
      <c r="B17" s="5" t="inlineStr">
        <is>
          <t>Invincible Valor — defeat an asset of twice the attacker's Cost.</t>
        </is>
      </c>
    </row>
    <row r="19" ht="19" customHeight="1">
      <c r="A19" s="2" t="inlineStr">
        <is>
          <t>Tags</t>
        </is>
      </c>
    </row>
    <row r="20" ht="28" customHeight="1">
      <c r="A20" s="4" t="inlineStr">
        <is>
          <t>Tag</t>
        </is>
      </c>
      <c r="B20" s="4" t="inlineStr">
        <is>
          <t>Effect (see Tags sheet for full text)</t>
        </is>
      </c>
    </row>
    <row r="21">
      <c r="A21" s="5" t="inlineStr">
        <is>
          <t>Antimagical</t>
        </is>
      </c>
      <c r="B21" s="5" t="inlineStr">
        <is>
          <t>Magic attacks against this faction's assets are made at –2 to the roll. May not own Magic assets.</t>
        </is>
      </c>
    </row>
    <row r="22">
      <c r="A22" s="6" t="inlineStr">
        <is>
          <t>Subterranean (homebrew, Veins-of-the-Earth)</t>
        </is>
      </c>
      <c r="B22" s="6" t="inlineStr">
        <is>
          <t>All assets ignore the first point of movement cost while inside the Veins / Underdark. Surface operations cost +1 Treasure.</t>
        </is>
      </c>
    </row>
    <row r="23">
      <c r="A23" s="5" t="inlineStr">
        <is>
          <t>Fanatic</t>
        </is>
      </c>
      <c r="B23" s="5" t="inlineStr">
        <is>
          <t>All assets gain +1 damage on attacks but cannot retreat or be Healed mid-combat.</t>
        </is>
      </c>
    </row>
    <row r="25" ht="19" customHeight="1">
      <c r="A25" s="2" t="inlineStr">
        <is>
          <t>Starting Assets</t>
        </is>
      </c>
    </row>
    <row r="26" ht="28" customHeight="1">
      <c r="A26" s="4" t="inlineStr">
        <is>
          <t>Asset</t>
        </is>
      </c>
      <c r="B26" s="4" t="inlineStr">
        <is>
          <t>Type</t>
        </is>
      </c>
      <c r="C26" s="4" t="inlineStr">
        <is>
          <t>Cost</t>
        </is>
      </c>
      <c r="D26" s="4" t="inlineStr">
        <is>
          <t>HP</t>
        </is>
      </c>
      <c r="E26" s="4" t="inlineStr">
        <is>
          <t>Attack</t>
        </is>
      </c>
      <c r="F26" s="4" t="inlineStr">
        <is>
          <t>Damage</t>
        </is>
      </c>
      <c r="G26" s="4" t="inlineStr">
        <is>
          <t>Counter</t>
        </is>
      </c>
      <c r="H26" s="4" t="inlineStr">
        <is>
          <t>Min Attr</t>
        </is>
      </c>
      <c r="I26" s="4" t="inlineStr">
        <is>
          <t>Traits</t>
        </is>
      </c>
      <c r="J26" s="4" t="inlineStr">
        <is>
          <t>Location</t>
        </is>
      </c>
    </row>
    <row r="27">
      <c r="A27" s="5" t="inlineStr">
        <is>
          <t>Stone-Voice Oracle</t>
        </is>
      </c>
      <c r="B27" s="5" t="inlineStr">
        <is>
          <t>Magic</t>
        </is>
      </c>
      <c r="C27" s="5" t="n">
        <v>10</v>
      </c>
      <c r="D27" s="5" t="n">
        <v>14</v>
      </c>
      <c r="E27" s="5" t="inlineStr">
        <is>
          <t>M vs M</t>
        </is>
      </c>
      <c r="F27" s="5" t="inlineStr">
        <is>
          <t>1d8</t>
        </is>
      </c>
      <c r="G27" s="5" t="inlineStr">
        <is>
          <t>1d8</t>
        </is>
      </c>
      <c r="H27" s="5" t="inlineStr">
        <is>
          <t>Magic 4</t>
        </is>
      </c>
      <c r="I27" s="5" t="inlineStr">
        <is>
          <t>Special</t>
        </is>
      </c>
      <c r="J27" s="5" t="inlineStr">
        <is>
          <t>The Core</t>
        </is>
      </c>
    </row>
    <row r="28">
      <c r="A28" s="6" t="inlineStr">
        <is>
          <t>Stone-Eaters</t>
        </is>
      </c>
      <c r="B28" s="6" t="inlineStr">
        <is>
          <t>Force</t>
        </is>
      </c>
      <c r="C28" s="6" t="n">
        <v>8</v>
      </c>
      <c r="D28" s="6" t="n">
        <v>14</v>
      </c>
      <c r="E28" s="6" t="inlineStr">
        <is>
          <t>F vs F</t>
        </is>
      </c>
      <c r="F28" s="6" t="inlineStr">
        <is>
          <t>1d10</t>
        </is>
      </c>
      <c r="G28" s="6" t="inlineStr">
        <is>
          <t>1d8</t>
        </is>
      </c>
      <c r="H28" s="6" t="inlineStr">
        <is>
          <t>Force 4, Magic 2</t>
        </is>
      </c>
      <c r="I28" s="6" t="inlineStr">
        <is>
          <t>Special</t>
        </is>
      </c>
      <c r="J28" s="6" t="inlineStr">
        <is>
          <t>The Core</t>
        </is>
      </c>
    </row>
    <row r="29">
      <c r="A29" s="5" t="inlineStr">
        <is>
          <t>Substratal Tribute Stones</t>
        </is>
      </c>
      <c r="B29" s="5" t="inlineStr">
        <is>
          <t>Wealth</t>
        </is>
      </c>
      <c r="C29" s="5" t="n">
        <v>6</v>
      </c>
      <c r="D29" s="5" t="n">
        <v>10</v>
      </c>
      <c r="E29" s="5" t="inlineStr">
        <is>
          <t>—</t>
        </is>
      </c>
      <c r="F29" s="5" t="inlineStr">
        <is>
          <t>—</t>
        </is>
      </c>
      <c r="G29" s="5" t="inlineStr">
        <is>
          <t>—</t>
        </is>
      </c>
      <c r="H29" s="5" t="inlineStr">
        <is>
          <t>Wealth 3, Magic 2</t>
        </is>
      </c>
      <c r="I29" s="5" t="inlineStr">
        <is>
          <t>Special</t>
        </is>
      </c>
      <c r="J29" s="5" t="inlineStr">
        <is>
          <t>The Core</t>
        </is>
      </c>
    </row>
    <row r="30">
      <c r="A30" s="6" t="inlineStr">
        <is>
          <t>Citadel</t>
        </is>
      </c>
      <c r="B30" s="6" t="inlineStr">
        <is>
          <t>Force</t>
        </is>
      </c>
      <c r="C30" s="6" t="n">
        <v>12</v>
      </c>
      <c r="D30" s="6" t="n">
        <v>30</v>
      </c>
      <c r="E30" s="6" t="inlineStr">
        <is>
          <t>—</t>
        </is>
      </c>
      <c r="F30" s="6" t="inlineStr">
        <is>
          <t>—</t>
        </is>
      </c>
      <c r="G30" s="6" t="inlineStr">
        <is>
          <t>1d10</t>
        </is>
      </c>
      <c r="H30" s="6" t="inlineStr">
        <is>
          <t>Force 4</t>
        </is>
      </c>
      <c r="I30" s="6" t="inlineStr">
        <is>
          <t>Action</t>
        </is>
      </c>
      <c r="J30" s="6" t="inlineStr">
        <is>
          <t>The Core</t>
        </is>
      </c>
    </row>
    <row r="31">
      <c r="A31" s="5" t="inlineStr">
        <is>
          <t>Ritual Casters</t>
        </is>
      </c>
      <c r="B31" s="5" t="inlineStr">
        <is>
          <t>Magic</t>
        </is>
      </c>
      <c r="C31" s="5" t="n">
        <v>6</v>
      </c>
      <c r="D31" s="5" t="n">
        <v>6</v>
      </c>
      <c r="E31" s="5" t="inlineStr">
        <is>
          <t>M vs M</t>
        </is>
      </c>
      <c r="F31" s="5" t="inlineStr">
        <is>
          <t>1d8</t>
        </is>
      </c>
      <c r="G31" s="5" t="inlineStr">
        <is>
          <t>1d4</t>
        </is>
      </c>
      <c r="H31" s="5" t="inlineStr">
        <is>
          <t>Magic 2</t>
        </is>
      </c>
      <c r="I31" s="5" t="inlineStr">
        <is>
          <t>Subtle</t>
        </is>
      </c>
      <c r="J31" s="5" t="inlineStr">
        <is>
          <t>The Core</t>
        </is>
      </c>
    </row>
    <row r="32">
      <c r="A32" s="6" t="inlineStr">
        <is>
          <t>Bound Spirit</t>
        </is>
      </c>
      <c r="B32" s="6" t="inlineStr">
        <is>
          <t>Magic</t>
        </is>
      </c>
      <c r="C32" s="6" t="n">
        <v>8</v>
      </c>
      <c r="D32" s="6" t="n">
        <v>12</v>
      </c>
      <c r="E32" s="6" t="inlineStr">
        <is>
          <t>M vs F</t>
        </is>
      </c>
      <c r="F32" s="6" t="inlineStr">
        <is>
          <t>1d8</t>
        </is>
      </c>
      <c r="G32" s="6" t="inlineStr">
        <is>
          <t>1d6</t>
        </is>
      </c>
      <c r="H32" s="6" t="inlineStr">
        <is>
          <t>Magic 3</t>
        </is>
      </c>
      <c r="I32" s="6" t="inlineStr">
        <is>
          <t>—</t>
        </is>
      </c>
      <c r="J32" s="6" t="inlineStr">
        <is>
          <t>Comorragh</t>
        </is>
      </c>
    </row>
    <row r="34" ht="19" customHeight="1">
      <c r="A34" s="2" t="inlineStr">
        <is>
          <t>Turn Log (fill as you play)</t>
        </is>
      </c>
    </row>
    <row r="35" ht="28" customHeight="1">
      <c r="A35" s="4" t="inlineStr">
        <is>
          <t>Turn</t>
        </is>
      </c>
      <c r="B35" s="4" t="inlineStr">
        <is>
          <t>Treasure +/–</t>
        </is>
      </c>
      <c r="C35" s="4" t="inlineStr">
        <is>
          <t>Action Taken</t>
        </is>
      </c>
      <c r="D35" s="4" t="inlineStr">
        <is>
          <t>Result</t>
        </is>
      </c>
      <c r="E35" s="4" t="inlineStr">
        <is>
          <t>Goal Progress</t>
        </is>
      </c>
      <c r="F35" s="4" t="inlineStr">
        <is>
          <t>Notes</t>
        </is>
      </c>
    </row>
    <row r="36">
      <c r="A36" s="5" t="n">
        <v>1</v>
      </c>
      <c r="B36" s="5" t="inlineStr"/>
      <c r="C36" s="5" t="inlineStr"/>
      <c r="D36" s="5" t="inlineStr"/>
      <c r="E36" s="5" t="inlineStr"/>
      <c r="F36" s="5" t="inlineStr"/>
    </row>
    <row r="37">
      <c r="A37" s="6" t="n">
        <v>2</v>
      </c>
      <c r="B37" s="6" t="inlineStr"/>
      <c r="C37" s="6" t="inlineStr"/>
      <c r="D37" s="6" t="inlineStr"/>
      <c r="E37" s="6" t="inlineStr"/>
      <c r="F37" s="6" t="inlineStr"/>
    </row>
    <row r="38">
      <c r="A38" s="5" t="n">
        <v>3</v>
      </c>
      <c r="B38" s="5" t="inlineStr"/>
      <c r="C38" s="5" t="inlineStr"/>
      <c r="D38" s="5" t="inlineStr"/>
      <c r="E38" s="5" t="inlineStr"/>
      <c r="F38" s="5" t="inlineStr"/>
    </row>
    <row r="39">
      <c r="A39" s="6" t="n">
        <v>4</v>
      </c>
      <c r="B39" s="6" t="inlineStr"/>
      <c r="C39" s="6" t="inlineStr"/>
      <c r="D39" s="6" t="inlineStr"/>
      <c r="E39" s="6" t="inlineStr"/>
      <c r="F39" s="6" t="inlineStr"/>
    </row>
    <row r="40">
      <c r="A40" s="5" t="n">
        <v>5</v>
      </c>
      <c r="B40" s="5" t="inlineStr"/>
      <c r="C40" s="5" t="inlineStr"/>
      <c r="D40" s="5" t="inlineStr"/>
      <c r="E40" s="5" t="inlineStr"/>
      <c r="F40" s="5" t="inlineStr"/>
    </row>
    <row r="41">
      <c r="A41" s="6" t="n">
        <v>6</v>
      </c>
      <c r="B41" s="6" t="inlineStr"/>
      <c r="C41" s="6" t="inlineStr"/>
      <c r="D41" s="6" t="inlineStr"/>
      <c r="E41" s="6" t="inlineStr"/>
      <c r="F41" s="6" t="inlineStr"/>
    </row>
    <row r="42">
      <c r="A42" s="5" t="n">
        <v>7</v>
      </c>
      <c r="B42" s="5" t="inlineStr"/>
      <c r="C42" s="5" t="inlineStr"/>
      <c r="D42" s="5" t="inlineStr"/>
      <c r="E42" s="5" t="inlineStr"/>
      <c r="F42" s="5" t="inlineStr"/>
    </row>
    <row r="43">
      <c r="A43" s="6" t="n">
        <v>8</v>
      </c>
      <c r="B43" s="6" t="inlineStr"/>
      <c r="C43" s="6" t="inlineStr"/>
      <c r="D43" s="6" t="inlineStr"/>
      <c r="E43" s="6" t="inlineStr"/>
      <c r="F43" s="6" t="inlineStr"/>
    </row>
    <row r="44">
      <c r="A44" s="5" t="n">
        <v>9</v>
      </c>
      <c r="B44" s="5" t="inlineStr"/>
      <c r="C44" s="5" t="inlineStr"/>
      <c r="D44" s="5" t="inlineStr"/>
      <c r="E44" s="5" t="inlineStr"/>
      <c r="F44" s="5" t="inlineStr"/>
    </row>
    <row r="45">
      <c r="A45" s="6" t="n">
        <v>10</v>
      </c>
      <c r="B45" s="6" t="inlineStr"/>
      <c r="C45" s="6" t="inlineStr"/>
      <c r="D45" s="6" t="inlineStr"/>
      <c r="E45" s="6" t="inlineStr"/>
      <c r="F45" s="6" t="inlineStr"/>
    </row>
    <row r="46">
      <c r="A46" s="5" t="n">
        <v>11</v>
      </c>
      <c r="B46" s="5" t="inlineStr"/>
      <c r="C46" s="5" t="inlineStr"/>
      <c r="D46" s="5" t="inlineStr"/>
      <c r="E46" s="5" t="inlineStr"/>
      <c r="F46" s="5" t="inlineStr"/>
    </row>
    <row r="47">
      <c r="A47" s="6" t="n">
        <v>12</v>
      </c>
      <c r="B47" s="6" t="inlineStr"/>
      <c r="C47" s="6" t="inlineStr"/>
      <c r="D47" s="6" t="inlineStr"/>
      <c r="E47" s="6" t="inlineStr"/>
      <c r="F47" s="6" t="inlineStr"/>
    </row>
  </sheetData>
  <mergeCells count="7">
    <mergeCell ref="A2:F2"/>
    <mergeCell ref="A19:F19"/>
    <mergeCell ref="A1:F1"/>
    <mergeCell ref="A5:F5"/>
    <mergeCell ref="A34:F34"/>
    <mergeCell ref="A3:F3"/>
    <mergeCell ref="A25:F25"/>
  </mergeCells>
  <pageMargins left="0.75" right="0.75" top="1" bottom="1" header="0.5" footer="0.5"/>
</worksheet>
</file>

<file path=xl/worksheets/sheet16.xml><?xml version="1.0" encoding="utf-8"?>
<worksheet xmlns="http://schemas.openxmlformats.org/spreadsheetml/2006/main">
  <sheetPr>
    <tabColor rgb="0070AD47"/>
    <outlinePr summaryBelow="1" summaryRight="1"/>
    <pageSetUpPr/>
  </sheetPr>
  <dimension ref="A1:J47"/>
  <sheetViews>
    <sheetView workbookViewId="0">
      <selection activeCell="A1" sqref="A1"/>
    </sheetView>
  </sheetViews>
  <sheetFormatPr baseColWidth="8" defaultRowHeight="15"/>
  <cols>
    <col width="6" customWidth="1" min="1" max="1"/>
    <col width="14" customWidth="1" min="2" max="2"/>
    <col width="28" customWidth="1" min="3" max="3"/>
    <col width="28" customWidth="1" min="4" max="4"/>
    <col width="22" customWidth="1" min="5" max="5"/>
    <col width="40" customWidth="1" min="6" max="6"/>
    <col width="10" customWidth="1" min="7" max="7"/>
    <col width="14" customWidth="1" min="8" max="8"/>
    <col width="22" customWidth="1" min="9" max="9"/>
    <col width="30" customWidth="1" min="10" max="10"/>
  </cols>
  <sheetData>
    <row r="1" ht="24" customHeight="1">
      <c r="A1" s="1" t="inlineStr">
        <is>
          <t>The Deep Janeen</t>
        </is>
      </c>
    </row>
    <row r="2" ht="18" customHeight="1">
      <c r="A2" s="13" t="inlineStr">
        <is>
          <t>Solitary genies of stone, building mazes for the soul.</t>
        </is>
      </c>
    </row>
    <row r="3" ht="70" customHeight="1">
      <c r="A3" s="14" t="inlineStr">
        <is>
          <t>Elemental aristocrats of the deep earth: flighty, artistic, fabulously dangerous to speak to. They build labyrinths as status symbols and will sometimes politely ask the survivor of one to write them a review.</t>
        </is>
      </c>
    </row>
    <row r="5" ht="19" customHeight="1">
      <c r="A5" s="2" t="inlineStr">
        <is>
          <t>Attributes &amp; State</t>
        </is>
      </c>
    </row>
    <row r="6" ht="28" customHeight="1">
      <c r="A6" s="4" t="inlineStr">
        <is>
          <t>Field</t>
        </is>
      </c>
      <c r="B6" s="4" t="inlineStr">
        <is>
          <t>Value</t>
        </is>
      </c>
    </row>
    <row r="7">
      <c r="A7" s="5" t="inlineStr">
        <is>
          <t>Force</t>
        </is>
      </c>
      <c r="B7" s="5" t="n">
        <v>4</v>
      </c>
    </row>
    <row r="8">
      <c r="A8" s="6" t="inlineStr">
        <is>
          <t>Cunning</t>
        </is>
      </c>
      <c r="B8" s="6" t="n">
        <v>4</v>
      </c>
    </row>
    <row r="9">
      <c r="A9" s="5" t="inlineStr">
        <is>
          <t>Wealth</t>
        </is>
      </c>
      <c r="B9" s="5" t="n">
        <v>5</v>
      </c>
    </row>
    <row r="10">
      <c r="A10" s="6" t="inlineStr">
        <is>
          <t>Magic</t>
        </is>
      </c>
      <c r="B10" s="6" t="n">
        <v>6</v>
      </c>
    </row>
    <row r="11">
      <c r="A11" s="5" t="inlineStr">
        <is>
          <t>HP (4 + sum of attributes)</t>
        </is>
      </c>
      <c r="B11" s="5" t="n">
        <v>23</v>
      </c>
    </row>
    <row r="12">
      <c r="A12" s="6" t="inlineStr">
        <is>
          <t>Current Treasure</t>
        </is>
      </c>
      <c r="B12" s="6" t="n">
        <v>10</v>
      </c>
    </row>
    <row r="13">
      <c r="A13" s="5" t="inlineStr">
        <is>
          <t>Treasure income / turn (W/2 + F/4 + C/4, round up)</t>
        </is>
      </c>
      <c r="B13" s="5" t="n">
        <v>5</v>
      </c>
    </row>
    <row r="14">
      <c r="A14" s="6" t="inlineStr">
        <is>
          <t>Tier (FacXP / 8 rounded down + 1)</t>
        </is>
      </c>
      <c r="B14" s="6" t="n">
        <v>1</v>
      </c>
    </row>
    <row r="15">
      <c r="A15" s="5" t="inlineStr">
        <is>
          <t>FacXP banked</t>
        </is>
      </c>
      <c r="B15" s="5" t="n">
        <v>0</v>
      </c>
    </row>
    <row r="16">
      <c r="A16" s="6" t="inlineStr">
        <is>
          <t>Home / HQ location</t>
        </is>
      </c>
      <c r="B16" s="6" t="inlineStr">
        <is>
          <t>Piranesi</t>
        </is>
      </c>
    </row>
    <row r="17">
      <c r="A17" s="5" t="inlineStr">
        <is>
          <t>Current Goal</t>
        </is>
      </c>
      <c r="B17" s="5" t="inlineStr">
        <is>
          <t>Wealth of Worlds — Wealth 8 or 30+ Treasure stockpiled.</t>
        </is>
      </c>
    </row>
    <row r="19" ht="19" customHeight="1">
      <c r="A19" s="2" t="inlineStr">
        <is>
          <t>Tags</t>
        </is>
      </c>
    </row>
    <row r="20" ht="28" customHeight="1">
      <c r="A20" s="4" t="inlineStr">
        <is>
          <t>Tag</t>
        </is>
      </c>
      <c r="B20" s="4" t="inlineStr">
        <is>
          <t>Effect (see Tags sheet for full text)</t>
        </is>
      </c>
    </row>
    <row r="21">
      <c r="A21" s="5" t="inlineStr">
        <is>
          <t>Cult of Personality</t>
        </is>
      </c>
      <c r="B21" s="5" t="inlineStr">
        <is>
          <t>Faction's leader counts as a free Cunning 8 asset for purposes of resisting Cunning attacks while alive.</t>
        </is>
      </c>
    </row>
    <row r="22">
      <c r="A22" s="6" t="inlineStr">
        <is>
          <t>Innovative</t>
        </is>
      </c>
      <c r="B22" s="6" t="inlineStr">
        <is>
          <t>May create one asset with a special, GM-approved homebrew rule each Tier.</t>
        </is>
      </c>
    </row>
    <row r="23">
      <c r="A23" s="5" t="inlineStr">
        <is>
          <t>Mercantile</t>
        </is>
      </c>
      <c r="B23" s="5" t="inlineStr">
        <is>
          <t>Gains +1 Treasure per turn for every Wealth asset above 3.</t>
        </is>
      </c>
    </row>
    <row r="25" ht="19" customHeight="1">
      <c r="A25" s="2" t="inlineStr">
        <is>
          <t>Starting Assets</t>
        </is>
      </c>
    </row>
    <row r="26" ht="28" customHeight="1">
      <c r="A26" s="4" t="inlineStr">
        <is>
          <t>Asset</t>
        </is>
      </c>
      <c r="B26" s="4" t="inlineStr">
        <is>
          <t>Type</t>
        </is>
      </c>
      <c r="C26" s="4" t="inlineStr">
        <is>
          <t>Cost</t>
        </is>
      </c>
      <c r="D26" s="4" t="inlineStr">
        <is>
          <t>HP</t>
        </is>
      </c>
      <c r="E26" s="4" t="inlineStr">
        <is>
          <t>Attack</t>
        </is>
      </c>
      <c r="F26" s="4" t="inlineStr">
        <is>
          <t>Damage</t>
        </is>
      </c>
      <c r="G26" s="4" t="inlineStr">
        <is>
          <t>Counter</t>
        </is>
      </c>
      <c r="H26" s="4" t="inlineStr">
        <is>
          <t>Min Attr</t>
        </is>
      </c>
      <c r="I26" s="4" t="inlineStr">
        <is>
          <t>Traits</t>
        </is>
      </c>
      <c r="J26" s="4" t="inlineStr">
        <is>
          <t>Location</t>
        </is>
      </c>
    </row>
    <row r="27">
      <c r="A27" s="5" t="inlineStr">
        <is>
          <t>Wonderworker</t>
        </is>
      </c>
      <c r="B27" s="5" t="inlineStr">
        <is>
          <t>Magic</t>
        </is>
      </c>
      <c r="C27" s="5" t="n">
        <v>16</v>
      </c>
      <c r="D27" s="5" t="n">
        <v>14</v>
      </c>
      <c r="E27" s="5" t="inlineStr">
        <is>
          <t>M vs M</t>
        </is>
      </c>
      <c r="F27" s="5" t="inlineStr">
        <is>
          <t>2d6</t>
        </is>
      </c>
      <c r="G27" s="5" t="inlineStr">
        <is>
          <t>1d8</t>
        </is>
      </c>
      <c r="H27" s="5" t="inlineStr">
        <is>
          <t>Magic 5</t>
        </is>
      </c>
      <c r="I27" s="5" t="inlineStr">
        <is>
          <t>Special</t>
        </is>
      </c>
      <c r="J27" s="5" t="inlineStr">
        <is>
          <t>Piranesi</t>
        </is>
      </c>
    </row>
    <row r="28">
      <c r="A28" s="6" t="inlineStr">
        <is>
          <t>Adept Order</t>
        </is>
      </c>
      <c r="B28" s="6" t="inlineStr">
        <is>
          <t>Magic</t>
        </is>
      </c>
      <c r="C28" s="6" t="n">
        <v>12</v>
      </c>
      <c r="D28" s="6" t="n">
        <v>12</v>
      </c>
      <c r="E28" s="6" t="inlineStr">
        <is>
          <t>M vs M</t>
        </is>
      </c>
      <c r="F28" s="6" t="inlineStr">
        <is>
          <t>1d10</t>
        </is>
      </c>
      <c r="G28" s="6" t="inlineStr">
        <is>
          <t>1d6</t>
        </is>
      </c>
      <c r="H28" s="6" t="inlineStr">
        <is>
          <t>Magic 4</t>
        </is>
      </c>
      <c r="I28" s="6" t="inlineStr">
        <is>
          <t>—</t>
        </is>
      </c>
      <c r="J28" s="6" t="inlineStr">
        <is>
          <t>Piranesi</t>
        </is>
      </c>
    </row>
    <row r="29">
      <c r="A29" s="5" t="inlineStr">
        <is>
          <t>Maze-Toll</t>
        </is>
      </c>
      <c r="B29" s="5" t="inlineStr">
        <is>
          <t>Wealth</t>
        </is>
      </c>
      <c r="C29" s="5" t="n">
        <v>8</v>
      </c>
      <c r="D29" s="5" t="n">
        <v>10</v>
      </c>
      <c r="E29" s="5" t="inlineStr">
        <is>
          <t>W vs M</t>
        </is>
      </c>
      <c r="F29" s="5" t="inlineStr">
        <is>
          <t>1d6</t>
        </is>
      </c>
      <c r="G29" s="5" t="inlineStr">
        <is>
          <t>—</t>
        </is>
      </c>
      <c r="H29" s="5" t="inlineStr">
        <is>
          <t>Wealth 4, Magic 3</t>
        </is>
      </c>
      <c r="I29" s="5" t="inlineStr">
        <is>
          <t>Special</t>
        </is>
      </c>
      <c r="J29" s="5" t="inlineStr">
        <is>
          <t>Piranesi</t>
        </is>
      </c>
    </row>
    <row r="30">
      <c r="A30" s="6" t="inlineStr">
        <is>
          <t>Counting House</t>
        </is>
      </c>
      <c r="B30" s="6" t="inlineStr">
        <is>
          <t>Wealth</t>
        </is>
      </c>
      <c r="C30" s="6" t="n">
        <v>12</v>
      </c>
      <c r="D30" s="6" t="n">
        <v>12</v>
      </c>
      <c r="E30" s="6" t="inlineStr">
        <is>
          <t>W vs W</t>
        </is>
      </c>
      <c r="F30" s="6" t="inlineStr">
        <is>
          <t>1d10</t>
        </is>
      </c>
      <c r="G30" s="6" t="inlineStr">
        <is>
          <t>1d6</t>
        </is>
      </c>
      <c r="H30" s="6" t="inlineStr">
        <is>
          <t>Wealth 5</t>
        </is>
      </c>
      <c r="I30" s="6" t="inlineStr">
        <is>
          <t>—</t>
        </is>
      </c>
      <c r="J30" s="6" t="inlineStr">
        <is>
          <t>Nox</t>
        </is>
      </c>
    </row>
    <row r="31">
      <c r="A31" s="5" t="inlineStr">
        <is>
          <t>Janeen Aesthete-Spies</t>
        </is>
      </c>
      <c r="B31" s="5" t="inlineStr">
        <is>
          <t>Cunning</t>
        </is>
      </c>
      <c r="C31" s="5" t="n">
        <v>8</v>
      </c>
      <c r="D31" s="5" t="n">
        <v>8</v>
      </c>
      <c r="E31" s="5" t="inlineStr">
        <is>
          <t>C vs C</t>
        </is>
      </c>
      <c r="F31" s="5" t="inlineStr">
        <is>
          <t>1d10</t>
        </is>
      </c>
      <c r="G31" s="5" t="inlineStr">
        <is>
          <t>—</t>
        </is>
      </c>
      <c r="H31" s="5" t="inlineStr">
        <is>
          <t>Cunning 4, Magic 2</t>
        </is>
      </c>
      <c r="I31" s="5" t="inlineStr">
        <is>
          <t>Subtle</t>
        </is>
      </c>
      <c r="J31" s="5" t="inlineStr">
        <is>
          <t>Nox</t>
        </is>
      </c>
    </row>
    <row r="32">
      <c r="A32" s="6" t="inlineStr">
        <is>
          <t>Bound Spirit</t>
        </is>
      </c>
      <c r="B32" s="6" t="inlineStr">
        <is>
          <t>Magic</t>
        </is>
      </c>
      <c r="C32" s="6" t="n">
        <v>8</v>
      </c>
      <c r="D32" s="6" t="n">
        <v>12</v>
      </c>
      <c r="E32" s="6" t="inlineStr">
        <is>
          <t>M vs F</t>
        </is>
      </c>
      <c r="F32" s="6" t="inlineStr">
        <is>
          <t>1d8</t>
        </is>
      </c>
      <c r="G32" s="6" t="inlineStr">
        <is>
          <t>1d6</t>
        </is>
      </c>
      <c r="H32" s="6" t="inlineStr">
        <is>
          <t>Magic 3</t>
        </is>
      </c>
      <c r="I32" s="6" t="inlineStr">
        <is>
          <t>—</t>
        </is>
      </c>
      <c r="J32" s="6" t="inlineStr">
        <is>
          <t>Piranesi</t>
        </is>
      </c>
    </row>
    <row r="34" ht="19" customHeight="1">
      <c r="A34" s="2" t="inlineStr">
        <is>
          <t>Turn Log (fill as you play)</t>
        </is>
      </c>
    </row>
    <row r="35" ht="28" customHeight="1">
      <c r="A35" s="4" t="inlineStr">
        <is>
          <t>Turn</t>
        </is>
      </c>
      <c r="B35" s="4" t="inlineStr">
        <is>
          <t>Treasure +/–</t>
        </is>
      </c>
      <c r="C35" s="4" t="inlineStr">
        <is>
          <t>Action Taken</t>
        </is>
      </c>
      <c r="D35" s="4" t="inlineStr">
        <is>
          <t>Result</t>
        </is>
      </c>
      <c r="E35" s="4" t="inlineStr">
        <is>
          <t>Goal Progress</t>
        </is>
      </c>
      <c r="F35" s="4" t="inlineStr">
        <is>
          <t>Notes</t>
        </is>
      </c>
    </row>
    <row r="36">
      <c r="A36" s="5" t="n">
        <v>1</v>
      </c>
      <c r="B36" s="5" t="inlineStr"/>
      <c r="C36" s="5" t="inlineStr"/>
      <c r="D36" s="5" t="inlineStr"/>
      <c r="E36" s="5" t="inlineStr"/>
      <c r="F36" s="5" t="inlineStr"/>
    </row>
    <row r="37">
      <c r="A37" s="6" t="n">
        <v>2</v>
      </c>
      <c r="B37" s="6" t="inlineStr"/>
      <c r="C37" s="6" t="inlineStr"/>
      <c r="D37" s="6" t="inlineStr"/>
      <c r="E37" s="6" t="inlineStr"/>
      <c r="F37" s="6" t="inlineStr"/>
    </row>
    <row r="38">
      <c r="A38" s="5" t="n">
        <v>3</v>
      </c>
      <c r="B38" s="5" t="inlineStr"/>
      <c r="C38" s="5" t="inlineStr"/>
      <c r="D38" s="5" t="inlineStr"/>
      <c r="E38" s="5" t="inlineStr"/>
      <c r="F38" s="5" t="inlineStr"/>
    </row>
    <row r="39">
      <c r="A39" s="6" t="n">
        <v>4</v>
      </c>
      <c r="B39" s="6" t="inlineStr"/>
      <c r="C39" s="6" t="inlineStr"/>
      <c r="D39" s="6" t="inlineStr"/>
      <c r="E39" s="6" t="inlineStr"/>
      <c r="F39" s="6" t="inlineStr"/>
    </row>
    <row r="40">
      <c r="A40" s="5" t="n">
        <v>5</v>
      </c>
      <c r="B40" s="5" t="inlineStr"/>
      <c r="C40" s="5" t="inlineStr"/>
      <c r="D40" s="5" t="inlineStr"/>
      <c r="E40" s="5" t="inlineStr"/>
      <c r="F40" s="5" t="inlineStr"/>
    </row>
    <row r="41">
      <c r="A41" s="6" t="n">
        <v>6</v>
      </c>
      <c r="B41" s="6" t="inlineStr"/>
      <c r="C41" s="6" t="inlineStr"/>
      <c r="D41" s="6" t="inlineStr"/>
      <c r="E41" s="6" t="inlineStr"/>
      <c r="F41" s="6" t="inlineStr"/>
    </row>
    <row r="42">
      <c r="A42" s="5" t="n">
        <v>7</v>
      </c>
      <c r="B42" s="5" t="inlineStr"/>
      <c r="C42" s="5" t="inlineStr"/>
      <c r="D42" s="5" t="inlineStr"/>
      <c r="E42" s="5" t="inlineStr"/>
      <c r="F42" s="5" t="inlineStr"/>
    </row>
    <row r="43">
      <c r="A43" s="6" t="n">
        <v>8</v>
      </c>
      <c r="B43" s="6" t="inlineStr"/>
      <c r="C43" s="6" t="inlineStr"/>
      <c r="D43" s="6" t="inlineStr"/>
      <c r="E43" s="6" t="inlineStr"/>
      <c r="F43" s="6" t="inlineStr"/>
    </row>
    <row r="44">
      <c r="A44" s="5" t="n">
        <v>9</v>
      </c>
      <c r="B44" s="5" t="inlineStr"/>
      <c r="C44" s="5" t="inlineStr"/>
      <c r="D44" s="5" t="inlineStr"/>
      <c r="E44" s="5" t="inlineStr"/>
      <c r="F44" s="5" t="inlineStr"/>
    </row>
    <row r="45">
      <c r="A45" s="6" t="n">
        <v>10</v>
      </c>
      <c r="B45" s="6" t="inlineStr"/>
      <c r="C45" s="6" t="inlineStr"/>
      <c r="D45" s="6" t="inlineStr"/>
      <c r="E45" s="6" t="inlineStr"/>
      <c r="F45" s="6" t="inlineStr"/>
    </row>
    <row r="46">
      <c r="A46" s="5" t="n">
        <v>11</v>
      </c>
      <c r="B46" s="5" t="inlineStr"/>
      <c r="C46" s="5" t="inlineStr"/>
      <c r="D46" s="5" t="inlineStr"/>
      <c r="E46" s="5" t="inlineStr"/>
      <c r="F46" s="5" t="inlineStr"/>
    </row>
    <row r="47">
      <c r="A47" s="6" t="n">
        <v>12</v>
      </c>
      <c r="B47" s="6" t="inlineStr"/>
      <c r="C47" s="6" t="inlineStr"/>
      <c r="D47" s="6" t="inlineStr"/>
      <c r="E47" s="6" t="inlineStr"/>
      <c r="F47" s="6" t="inlineStr"/>
    </row>
  </sheetData>
  <mergeCells count="7">
    <mergeCell ref="A2:F2"/>
    <mergeCell ref="A19:F19"/>
    <mergeCell ref="A1:F1"/>
    <mergeCell ref="A5:F5"/>
    <mergeCell ref="A34:F34"/>
    <mergeCell ref="A3:F3"/>
    <mergeCell ref="A25:F25"/>
  </mergeCells>
  <pageMargins left="0.75" right="0.75" top="1" bottom="1" header="0.5" footer="0.5"/>
</worksheet>
</file>

<file path=xl/worksheets/sheet17.xml><?xml version="1.0" encoding="utf-8"?>
<worksheet xmlns="http://schemas.openxmlformats.org/spreadsheetml/2006/main">
  <sheetPr>
    <tabColor rgb="0070AD47"/>
    <outlinePr summaryBelow="1" summaryRight="1"/>
    <pageSetUpPr/>
  </sheetPr>
  <dimension ref="A1:J47"/>
  <sheetViews>
    <sheetView workbookViewId="0">
      <selection activeCell="A1" sqref="A1"/>
    </sheetView>
  </sheetViews>
  <sheetFormatPr baseColWidth="8" defaultRowHeight="15"/>
  <cols>
    <col width="6" customWidth="1" min="1" max="1"/>
    <col width="14" customWidth="1" min="2" max="2"/>
    <col width="28" customWidth="1" min="3" max="3"/>
    <col width="28" customWidth="1" min="4" max="4"/>
    <col width="22" customWidth="1" min="5" max="5"/>
    <col width="40" customWidth="1" min="6" max="6"/>
    <col width="10" customWidth="1" min="7" max="7"/>
    <col width="14" customWidth="1" min="8" max="8"/>
    <col width="22" customWidth="1" min="9" max="9"/>
    <col width="30" customWidth="1" min="10" max="10"/>
  </cols>
  <sheetData>
    <row r="1" ht="24" customHeight="1">
      <c r="A1" s="1" t="inlineStr">
        <is>
          <t>The Olm</t>
        </is>
      </c>
    </row>
    <row r="2" ht="18" customHeight="1">
      <c r="A2" s="13" t="inlineStr">
        <is>
          <t>Rubbery, eel-pale, always hungry, never quite a cannibal.</t>
        </is>
      </c>
    </row>
    <row r="3" ht="70" customHeight="1">
      <c r="A3" s="14" t="inlineStr">
        <is>
          <t>Pale, blind, amphibious humanoids who know the unmaking-shapes of every thing they meet. They are constantly hungry and deeply insulted by anyone who suggests they would eat a person.</t>
        </is>
      </c>
    </row>
    <row r="5" ht="19" customHeight="1">
      <c r="A5" s="2" t="inlineStr">
        <is>
          <t>Attributes &amp; State</t>
        </is>
      </c>
    </row>
    <row r="6" ht="28" customHeight="1">
      <c r="A6" s="4" t="inlineStr">
        <is>
          <t>Field</t>
        </is>
      </c>
      <c r="B6" s="4" t="inlineStr">
        <is>
          <t>Value</t>
        </is>
      </c>
    </row>
    <row r="7">
      <c r="A7" s="5" t="inlineStr">
        <is>
          <t>Force</t>
        </is>
      </c>
      <c r="B7" s="5" t="n">
        <v>3</v>
      </c>
    </row>
    <row r="8">
      <c r="A8" s="6" t="inlineStr">
        <is>
          <t>Cunning</t>
        </is>
      </c>
      <c r="B8" s="6" t="n">
        <v>3</v>
      </c>
    </row>
    <row r="9">
      <c r="A9" s="5" t="inlineStr">
        <is>
          <t>Wealth</t>
        </is>
      </c>
      <c r="B9" s="5" t="n">
        <v>1</v>
      </c>
    </row>
    <row r="10">
      <c r="A10" s="6" t="inlineStr">
        <is>
          <t>Magic</t>
        </is>
      </c>
      <c r="B10" s="6" t="n">
        <v>2</v>
      </c>
    </row>
    <row r="11">
      <c r="A11" s="5" t="inlineStr">
        <is>
          <t>HP (4 + sum of attributes)</t>
        </is>
      </c>
      <c r="B11" s="5" t="n">
        <v>13</v>
      </c>
    </row>
    <row r="12">
      <c r="A12" s="6" t="inlineStr">
        <is>
          <t>Current Treasure</t>
        </is>
      </c>
      <c r="B12" s="6" t="n">
        <v>3</v>
      </c>
    </row>
    <row r="13">
      <c r="A13" s="5" t="inlineStr">
        <is>
          <t>Treasure income / turn (W/2 + F/4 + C/4, round up)</t>
        </is>
      </c>
      <c r="B13" s="5" t="n">
        <v>2</v>
      </c>
    </row>
    <row r="14">
      <c r="A14" s="6" t="inlineStr">
        <is>
          <t>Tier (FacXP / 8 rounded down + 1)</t>
        </is>
      </c>
      <c r="B14" s="6" t="n">
        <v>1</v>
      </c>
    </row>
    <row r="15">
      <c r="A15" s="5" t="inlineStr">
        <is>
          <t>FacXP banked</t>
        </is>
      </c>
      <c r="B15" s="5" t="n">
        <v>0</v>
      </c>
    </row>
    <row r="16">
      <c r="A16" s="6" t="inlineStr">
        <is>
          <t>Home / HQ location</t>
        </is>
      </c>
      <c r="B16" s="6" t="inlineStr">
        <is>
          <t>No fixed capital — wanders the drowned routes</t>
        </is>
      </c>
    </row>
    <row r="17">
      <c r="A17" s="5" t="inlineStr">
        <is>
          <t>Current Goal</t>
        </is>
      </c>
      <c r="B17" s="5" t="inlineStr">
        <is>
          <t>Veins-Walker — establish permanent caravan path between two distant Veins.</t>
        </is>
      </c>
    </row>
    <row r="19" ht="19" customHeight="1">
      <c r="A19" s="2" t="inlineStr">
        <is>
          <t>Tags</t>
        </is>
      </c>
    </row>
    <row r="20" ht="28" customHeight="1">
      <c r="A20" s="4" t="inlineStr">
        <is>
          <t>Tag</t>
        </is>
      </c>
      <c r="B20" s="4" t="inlineStr">
        <is>
          <t>Effect (see Tags sheet for full text)</t>
        </is>
      </c>
    </row>
    <row r="21">
      <c r="A21" s="5" t="inlineStr">
        <is>
          <t>Savage</t>
        </is>
      </c>
      <c r="B21" s="5" t="inlineStr">
        <is>
          <t>Force assets cost 1 less to create but cannot occupy locations with Markets, Banks, or Counting Houses.</t>
        </is>
      </c>
    </row>
    <row r="22">
      <c r="A22" s="6" t="inlineStr">
        <is>
          <t>Subterranean (homebrew, Veins-of-the-Earth)</t>
        </is>
      </c>
      <c r="B22" s="6" t="inlineStr">
        <is>
          <t>All assets ignore the first point of movement cost while inside the Veins / Underdark. Surface operations cost +1 Treasure.</t>
        </is>
      </c>
    </row>
    <row r="23">
      <c r="A23" s="5" t="inlineStr">
        <is>
          <t>Scavengers</t>
        </is>
      </c>
      <c r="B23" s="5" t="inlineStr">
        <is>
          <t>Once per turn may rebuild a destroyed asset of cost 4 or less for half its Cost.</t>
        </is>
      </c>
    </row>
    <row r="25" ht="19" customHeight="1">
      <c r="A25" s="2" t="inlineStr">
        <is>
          <t>Starting Assets</t>
        </is>
      </c>
    </row>
    <row r="26" ht="28" customHeight="1">
      <c r="A26" s="4" t="inlineStr">
        <is>
          <t>Asset</t>
        </is>
      </c>
      <c r="B26" s="4" t="inlineStr">
        <is>
          <t>Type</t>
        </is>
      </c>
      <c r="C26" s="4" t="inlineStr">
        <is>
          <t>Cost</t>
        </is>
      </c>
      <c r="D26" s="4" t="inlineStr">
        <is>
          <t>HP</t>
        </is>
      </c>
      <c r="E26" s="4" t="inlineStr">
        <is>
          <t>Attack</t>
        </is>
      </c>
      <c r="F26" s="4" t="inlineStr">
        <is>
          <t>Damage</t>
        </is>
      </c>
      <c r="G26" s="4" t="inlineStr">
        <is>
          <t>Counter</t>
        </is>
      </c>
      <c r="H26" s="4" t="inlineStr">
        <is>
          <t>Min Attr</t>
        </is>
      </c>
      <c r="I26" s="4" t="inlineStr">
        <is>
          <t>Traits</t>
        </is>
      </c>
      <c r="J26" s="4" t="inlineStr">
        <is>
          <t>Location</t>
        </is>
      </c>
    </row>
    <row r="27">
      <c r="A27" s="5" t="inlineStr">
        <is>
          <t>Brigands</t>
        </is>
      </c>
      <c r="B27" s="5" t="inlineStr">
        <is>
          <t>Force</t>
        </is>
      </c>
      <c r="C27" s="5" t="n">
        <v>2</v>
      </c>
      <c r="D27" s="5" t="n">
        <v>6</v>
      </c>
      <c r="E27" s="5" t="inlineStr">
        <is>
          <t>F vs F</t>
        </is>
      </c>
      <c r="F27" s="5" t="inlineStr">
        <is>
          <t>1d6</t>
        </is>
      </c>
      <c r="G27" s="5" t="inlineStr">
        <is>
          <t>1d4</t>
        </is>
      </c>
      <c r="H27" s="5" t="inlineStr">
        <is>
          <t>Force 1</t>
        </is>
      </c>
      <c r="I27" s="5" t="inlineStr">
        <is>
          <t>Mobile</t>
        </is>
      </c>
      <c r="J27" s="5" t="inlineStr">
        <is>
          <t>Isles of the Imprisoned Moon</t>
        </is>
      </c>
    </row>
    <row r="28">
      <c r="A28" s="6" t="inlineStr">
        <is>
          <t>Smugglers</t>
        </is>
      </c>
      <c r="B28" s="6" t="inlineStr">
        <is>
          <t>Cunning</t>
        </is>
      </c>
      <c r="C28" s="6" t="n">
        <v>2</v>
      </c>
      <c r="D28" s="6" t="n">
        <v>4</v>
      </c>
      <c r="E28" s="6" t="inlineStr">
        <is>
          <t>C vs W</t>
        </is>
      </c>
      <c r="F28" s="6" t="inlineStr">
        <is>
          <t>1d6</t>
        </is>
      </c>
      <c r="G28" s="6" t="inlineStr">
        <is>
          <t>—</t>
        </is>
      </c>
      <c r="H28" s="6" t="inlineStr">
        <is>
          <t>Cunning 1</t>
        </is>
      </c>
      <c r="I28" s="6" t="inlineStr">
        <is>
          <t>Stealthed, Mobile</t>
        </is>
      </c>
      <c r="J28" s="6" t="inlineStr">
        <is>
          <t>Nox</t>
        </is>
      </c>
    </row>
    <row r="29">
      <c r="A29" s="5" t="inlineStr">
        <is>
          <t>Olm Listeners</t>
        </is>
      </c>
      <c r="B29" s="5" t="inlineStr">
        <is>
          <t>Cunning</t>
        </is>
      </c>
      <c r="C29" s="5" t="n">
        <v>2</v>
      </c>
      <c r="D29" s="5" t="n">
        <v>4</v>
      </c>
      <c r="E29" s="5" t="inlineStr">
        <is>
          <t>C vs C</t>
        </is>
      </c>
      <c r="F29" s="5" t="inlineStr">
        <is>
          <t>1d6</t>
        </is>
      </c>
      <c r="G29" s="5" t="inlineStr">
        <is>
          <t>—</t>
        </is>
      </c>
      <c r="H29" s="5" t="inlineStr">
        <is>
          <t>Cunning 1</t>
        </is>
      </c>
      <c r="I29" s="5" t="inlineStr">
        <is>
          <t>Stealthed</t>
        </is>
      </c>
      <c r="J29" s="5" t="inlineStr">
        <is>
          <t>Isles of the Imprisoned Moon</t>
        </is>
      </c>
    </row>
    <row r="30">
      <c r="A30" s="6" t="inlineStr">
        <is>
          <t>Hidden Larder</t>
        </is>
      </c>
      <c r="B30" s="6" t="inlineStr">
        <is>
          <t>Wealth</t>
        </is>
      </c>
      <c r="C30" s="6" t="n">
        <v>2</v>
      </c>
      <c r="D30" s="6" t="n">
        <v>4</v>
      </c>
      <c r="E30" s="6" t="inlineStr">
        <is>
          <t>—</t>
        </is>
      </c>
      <c r="F30" s="6" t="inlineStr">
        <is>
          <t>—</t>
        </is>
      </c>
      <c r="G30" s="6" t="inlineStr">
        <is>
          <t>—</t>
        </is>
      </c>
      <c r="H30" s="6" t="inlineStr">
        <is>
          <t>Wealth 1</t>
        </is>
      </c>
      <c r="I30" s="6" t="inlineStr">
        <is>
          <t>Stealthed, Special</t>
        </is>
      </c>
      <c r="J30" s="6" t="inlineStr">
        <is>
          <t>Isles of the Imprisoned Moon</t>
        </is>
      </c>
    </row>
    <row r="31">
      <c r="A31" s="5" t="inlineStr">
        <is>
          <t>Olm Anatomist</t>
        </is>
      </c>
      <c r="B31" s="5" t="inlineStr">
        <is>
          <t>Magic</t>
        </is>
      </c>
      <c r="C31" s="5" t="n">
        <v>8</v>
      </c>
      <c r="D31" s="5" t="n">
        <v>8</v>
      </c>
      <c r="E31" s="5" t="inlineStr">
        <is>
          <t>M vs F</t>
        </is>
      </c>
      <c r="F31" s="5" t="inlineStr">
        <is>
          <t>2d4</t>
        </is>
      </c>
      <c r="G31" s="5" t="inlineStr">
        <is>
          <t>—</t>
        </is>
      </c>
      <c r="H31" s="5" t="inlineStr">
        <is>
          <t>Magic 3</t>
        </is>
      </c>
      <c r="I31" s="5" t="inlineStr">
        <is>
          <t>Stealthed, Special</t>
        </is>
      </c>
      <c r="J31" s="5" t="inlineStr">
        <is>
          <t>Isles of the Imprisoned Moon</t>
        </is>
      </c>
    </row>
    <row r="32">
      <c r="A32" s="6" t="inlineStr">
        <is>
          <t>Spirit Walkers</t>
        </is>
      </c>
      <c r="B32" s="6" t="inlineStr">
        <is>
          <t>Magic</t>
        </is>
      </c>
      <c r="C32" s="6" t="n">
        <v>6</v>
      </c>
      <c r="D32" s="6" t="n">
        <v>6</v>
      </c>
      <c r="E32" s="6" t="inlineStr">
        <is>
          <t>M vs C</t>
        </is>
      </c>
      <c r="F32" s="6" t="inlineStr">
        <is>
          <t>1d6</t>
        </is>
      </c>
      <c r="G32" s="6" t="inlineStr">
        <is>
          <t>—</t>
        </is>
      </c>
      <c r="H32" s="6" t="inlineStr">
        <is>
          <t>Magic 2</t>
        </is>
      </c>
      <c r="I32" s="6" t="inlineStr">
        <is>
          <t>Stealthed, Subtle</t>
        </is>
      </c>
      <c r="J32" s="6" t="inlineStr">
        <is>
          <t>Nox</t>
        </is>
      </c>
    </row>
    <row r="34" ht="19" customHeight="1">
      <c r="A34" s="2" t="inlineStr">
        <is>
          <t>Turn Log (fill as you play)</t>
        </is>
      </c>
    </row>
    <row r="35" ht="28" customHeight="1">
      <c r="A35" s="4" t="inlineStr">
        <is>
          <t>Turn</t>
        </is>
      </c>
      <c r="B35" s="4" t="inlineStr">
        <is>
          <t>Treasure +/–</t>
        </is>
      </c>
      <c r="C35" s="4" t="inlineStr">
        <is>
          <t>Action Taken</t>
        </is>
      </c>
      <c r="D35" s="4" t="inlineStr">
        <is>
          <t>Result</t>
        </is>
      </c>
      <c r="E35" s="4" t="inlineStr">
        <is>
          <t>Goal Progress</t>
        </is>
      </c>
      <c r="F35" s="4" t="inlineStr">
        <is>
          <t>Notes</t>
        </is>
      </c>
    </row>
    <row r="36">
      <c r="A36" s="5" t="n">
        <v>1</v>
      </c>
      <c r="B36" s="5" t="inlineStr"/>
      <c r="C36" s="5" t="inlineStr"/>
      <c r="D36" s="5" t="inlineStr"/>
      <c r="E36" s="5" t="inlineStr"/>
      <c r="F36" s="5" t="inlineStr"/>
    </row>
    <row r="37">
      <c r="A37" s="6" t="n">
        <v>2</v>
      </c>
      <c r="B37" s="6" t="inlineStr"/>
      <c r="C37" s="6" t="inlineStr"/>
      <c r="D37" s="6" t="inlineStr"/>
      <c r="E37" s="6" t="inlineStr"/>
      <c r="F37" s="6" t="inlineStr"/>
    </row>
    <row r="38">
      <c r="A38" s="5" t="n">
        <v>3</v>
      </c>
      <c r="B38" s="5" t="inlineStr"/>
      <c r="C38" s="5" t="inlineStr"/>
      <c r="D38" s="5" t="inlineStr"/>
      <c r="E38" s="5" t="inlineStr"/>
      <c r="F38" s="5" t="inlineStr"/>
    </row>
    <row r="39">
      <c r="A39" s="6" t="n">
        <v>4</v>
      </c>
      <c r="B39" s="6" t="inlineStr"/>
      <c r="C39" s="6" t="inlineStr"/>
      <c r="D39" s="6" t="inlineStr"/>
      <c r="E39" s="6" t="inlineStr"/>
      <c r="F39" s="6" t="inlineStr"/>
    </row>
    <row r="40">
      <c r="A40" s="5" t="n">
        <v>5</v>
      </c>
      <c r="B40" s="5" t="inlineStr"/>
      <c r="C40" s="5" t="inlineStr"/>
      <c r="D40" s="5" t="inlineStr"/>
      <c r="E40" s="5" t="inlineStr"/>
      <c r="F40" s="5" t="inlineStr"/>
    </row>
    <row r="41">
      <c r="A41" s="6" t="n">
        <v>6</v>
      </c>
      <c r="B41" s="6" t="inlineStr"/>
      <c r="C41" s="6" t="inlineStr"/>
      <c r="D41" s="6" t="inlineStr"/>
      <c r="E41" s="6" t="inlineStr"/>
      <c r="F41" s="6" t="inlineStr"/>
    </row>
    <row r="42">
      <c r="A42" s="5" t="n">
        <v>7</v>
      </c>
      <c r="B42" s="5" t="inlineStr"/>
      <c r="C42" s="5" t="inlineStr"/>
      <c r="D42" s="5" t="inlineStr"/>
      <c r="E42" s="5" t="inlineStr"/>
      <c r="F42" s="5" t="inlineStr"/>
    </row>
    <row r="43">
      <c r="A43" s="6" t="n">
        <v>8</v>
      </c>
      <c r="B43" s="6" t="inlineStr"/>
      <c r="C43" s="6" t="inlineStr"/>
      <c r="D43" s="6" t="inlineStr"/>
      <c r="E43" s="6" t="inlineStr"/>
      <c r="F43" s="6" t="inlineStr"/>
    </row>
    <row r="44">
      <c r="A44" s="5" t="n">
        <v>9</v>
      </c>
      <c r="B44" s="5" t="inlineStr"/>
      <c r="C44" s="5" t="inlineStr"/>
      <c r="D44" s="5" t="inlineStr"/>
      <c r="E44" s="5" t="inlineStr"/>
      <c r="F44" s="5" t="inlineStr"/>
    </row>
    <row r="45">
      <c r="A45" s="6" t="n">
        <v>10</v>
      </c>
      <c r="B45" s="6" t="inlineStr"/>
      <c r="C45" s="6" t="inlineStr"/>
      <c r="D45" s="6" t="inlineStr"/>
      <c r="E45" s="6" t="inlineStr"/>
      <c r="F45" s="6" t="inlineStr"/>
    </row>
    <row r="46">
      <c r="A46" s="5" t="n">
        <v>11</v>
      </c>
      <c r="B46" s="5" t="inlineStr"/>
      <c r="C46" s="5" t="inlineStr"/>
      <c r="D46" s="5" t="inlineStr"/>
      <c r="E46" s="5" t="inlineStr"/>
      <c r="F46" s="5" t="inlineStr"/>
    </row>
    <row r="47">
      <c r="A47" s="6" t="n">
        <v>12</v>
      </c>
      <c r="B47" s="6" t="inlineStr"/>
      <c r="C47" s="6" t="inlineStr"/>
      <c r="D47" s="6" t="inlineStr"/>
      <c r="E47" s="6" t="inlineStr"/>
      <c r="F47" s="6" t="inlineStr"/>
    </row>
  </sheetData>
  <mergeCells count="7">
    <mergeCell ref="A2:F2"/>
    <mergeCell ref="A19:F19"/>
    <mergeCell ref="A1:F1"/>
    <mergeCell ref="A5:F5"/>
    <mergeCell ref="A34:F34"/>
    <mergeCell ref="A3:F3"/>
    <mergeCell ref="A25:F25"/>
  </mergeCells>
  <pageMargins left="0.75" right="0.75" top="1" bottom="1" header="0.5" footer="0.5"/>
</worksheet>
</file>

<file path=xl/worksheets/sheet18.xml><?xml version="1.0" encoding="utf-8"?>
<worksheet xmlns="http://schemas.openxmlformats.org/spreadsheetml/2006/main">
  <sheetPr>
    <tabColor rgb="0070AD47"/>
    <outlinePr summaryBelow="1" summaryRight="1"/>
    <pageSetUpPr/>
  </sheetPr>
  <dimension ref="A1:J50"/>
  <sheetViews>
    <sheetView workbookViewId="0">
      <selection activeCell="A1" sqref="A1"/>
    </sheetView>
  </sheetViews>
  <sheetFormatPr baseColWidth="8" defaultRowHeight="15"/>
  <cols>
    <col width="6" customWidth="1" min="1" max="1"/>
    <col width="14" customWidth="1" min="2" max="2"/>
    <col width="28" customWidth="1" min="3" max="3"/>
    <col width="28" customWidth="1" min="4" max="4"/>
    <col width="22" customWidth="1" min="5" max="5"/>
    <col width="40" customWidth="1" min="6" max="6"/>
    <col width="10" customWidth="1" min="7" max="7"/>
    <col width="14" customWidth="1" min="8" max="8"/>
    <col width="22" customWidth="1" min="9" max="9"/>
    <col width="30" customWidth="1" min="10" max="10"/>
  </cols>
  <sheetData>
    <row r="1" ht="24" customHeight="1">
      <c r="A1" s="1" t="inlineStr">
        <is>
          <t>New Faction (copy this sheet)</t>
        </is>
      </c>
    </row>
    <row r="2">
      <c r="A2" s="13" t="inlineStr">
        <is>
          <t>Tagline:</t>
        </is>
      </c>
    </row>
    <row r="3" ht="60" customHeight="1">
      <c r="A3" s="14" t="inlineStr">
        <is>
          <t>Description...</t>
        </is>
      </c>
    </row>
    <row r="5" ht="19" customHeight="1">
      <c r="A5" s="2" t="inlineStr">
        <is>
          <t>Attributes &amp; State</t>
        </is>
      </c>
    </row>
    <row r="6" ht="28" customHeight="1">
      <c r="A6" s="4" t="inlineStr">
        <is>
          <t>Field</t>
        </is>
      </c>
      <c r="B6" s="4" t="inlineStr">
        <is>
          <t>Value</t>
        </is>
      </c>
    </row>
    <row r="7">
      <c r="A7" s="5" t="inlineStr">
        <is>
          <t>Force</t>
        </is>
      </c>
      <c r="B7" s="5" t="inlineStr"/>
    </row>
    <row r="8">
      <c r="A8" s="6" t="inlineStr">
        <is>
          <t>Cunning</t>
        </is>
      </c>
      <c r="B8" s="6" t="inlineStr"/>
    </row>
    <row r="9">
      <c r="A9" s="5" t="inlineStr">
        <is>
          <t>Wealth</t>
        </is>
      </c>
      <c r="B9" s="5" t="inlineStr"/>
    </row>
    <row r="10">
      <c r="A10" s="6" t="inlineStr">
        <is>
          <t>Magic</t>
        </is>
      </c>
      <c r="B10" s="6" t="inlineStr"/>
    </row>
    <row r="11">
      <c r="A11" s="5" t="inlineStr">
        <is>
          <t>HP (4 + sum of attributes)</t>
        </is>
      </c>
      <c r="B11" s="5" t="inlineStr"/>
    </row>
    <row r="12">
      <c r="A12" s="6" t="inlineStr">
        <is>
          <t>Current Treasure</t>
        </is>
      </c>
      <c r="B12" s="6" t="inlineStr"/>
    </row>
    <row r="13">
      <c r="A13" s="5" t="inlineStr">
        <is>
          <t>Treasure income / turn</t>
        </is>
      </c>
      <c r="B13" s="5" t="inlineStr"/>
    </row>
    <row r="14">
      <c r="A14" s="6" t="inlineStr">
        <is>
          <t>Tier</t>
        </is>
      </c>
      <c r="B14" s="6" t="inlineStr"/>
    </row>
    <row r="15">
      <c r="A15" s="5" t="inlineStr">
        <is>
          <t>FacXP banked</t>
        </is>
      </c>
      <c r="B15" s="5" t="inlineStr"/>
    </row>
    <row r="16">
      <c r="A16" s="6" t="inlineStr">
        <is>
          <t>Home / HQ location</t>
        </is>
      </c>
      <c r="B16" s="6" t="inlineStr"/>
    </row>
    <row r="17">
      <c r="A17" s="5" t="inlineStr">
        <is>
          <t>Current Goal</t>
        </is>
      </c>
      <c r="B17" s="5" t="inlineStr"/>
    </row>
    <row r="19" ht="19" customHeight="1">
      <c r="A19" s="2" t="inlineStr">
        <is>
          <t>Tags</t>
        </is>
      </c>
    </row>
    <row r="20" ht="28" customHeight="1">
      <c r="A20" s="4" t="inlineStr">
        <is>
          <t>Tag</t>
        </is>
      </c>
      <c r="B20" s="4" t="inlineStr">
        <is>
          <t>Effect</t>
        </is>
      </c>
    </row>
    <row r="21">
      <c r="A21" s="5" t="inlineStr"/>
      <c r="B21" s="5" t="inlineStr"/>
    </row>
    <row r="22">
      <c r="A22" s="6" t="inlineStr"/>
      <c r="B22" s="6" t="inlineStr"/>
    </row>
    <row r="23">
      <c r="A23" s="5" t="inlineStr"/>
      <c r="B23" s="5" t="inlineStr"/>
    </row>
    <row r="24">
      <c r="A24" s="6" t="inlineStr"/>
      <c r="B24" s="6" t="inlineStr"/>
    </row>
    <row r="26" ht="19" customHeight="1">
      <c r="A26" s="2" t="inlineStr">
        <is>
          <t>Starting Assets</t>
        </is>
      </c>
    </row>
    <row r="27" ht="28" customHeight="1">
      <c r="A27" s="4" t="inlineStr">
        <is>
          <t>Asset</t>
        </is>
      </c>
      <c r="B27" s="4" t="inlineStr">
        <is>
          <t>Type</t>
        </is>
      </c>
      <c r="C27" s="4" t="inlineStr">
        <is>
          <t>Cost</t>
        </is>
      </c>
      <c r="D27" s="4" t="inlineStr">
        <is>
          <t>HP</t>
        </is>
      </c>
      <c r="E27" s="4" t="inlineStr">
        <is>
          <t>Attack</t>
        </is>
      </c>
      <c r="F27" s="4" t="inlineStr">
        <is>
          <t>Damage</t>
        </is>
      </c>
      <c r="G27" s="4" t="inlineStr">
        <is>
          <t>Counter</t>
        </is>
      </c>
      <c r="H27" s="4" t="inlineStr">
        <is>
          <t>Min Attr</t>
        </is>
      </c>
      <c r="I27" s="4" t="inlineStr">
        <is>
          <t>Traits</t>
        </is>
      </c>
      <c r="J27" s="4" t="inlineStr">
        <is>
          <t>Location</t>
        </is>
      </c>
    </row>
    <row r="28">
      <c r="A28" s="5" t="inlineStr"/>
      <c r="B28" s="5" t="inlineStr"/>
      <c r="C28" s="5" t="inlineStr"/>
      <c r="D28" s="5" t="inlineStr"/>
      <c r="E28" s="5" t="inlineStr"/>
      <c r="F28" s="5" t="inlineStr"/>
      <c r="G28" s="5" t="inlineStr"/>
      <c r="H28" s="5" t="inlineStr"/>
      <c r="I28" s="5" t="inlineStr"/>
      <c r="J28" s="5" t="inlineStr"/>
    </row>
    <row r="29">
      <c r="A29" s="6" t="inlineStr"/>
      <c r="B29" s="6" t="inlineStr"/>
      <c r="C29" s="6" t="inlineStr"/>
      <c r="D29" s="6" t="inlineStr"/>
      <c r="E29" s="6" t="inlineStr"/>
      <c r="F29" s="6" t="inlineStr"/>
      <c r="G29" s="6" t="inlineStr"/>
      <c r="H29" s="6" t="inlineStr"/>
      <c r="I29" s="6" t="inlineStr"/>
      <c r="J29" s="6" t="inlineStr"/>
    </row>
    <row r="30">
      <c r="A30" s="5" t="inlineStr"/>
      <c r="B30" s="5" t="inlineStr"/>
      <c r="C30" s="5" t="inlineStr"/>
      <c r="D30" s="5" t="inlineStr"/>
      <c r="E30" s="5" t="inlineStr"/>
      <c r="F30" s="5" t="inlineStr"/>
      <c r="G30" s="5" t="inlineStr"/>
      <c r="H30" s="5" t="inlineStr"/>
      <c r="I30" s="5" t="inlineStr"/>
      <c r="J30" s="5" t="inlineStr"/>
    </row>
    <row r="31">
      <c r="A31" s="6" t="inlineStr"/>
      <c r="B31" s="6" t="inlineStr"/>
      <c r="C31" s="6" t="inlineStr"/>
      <c r="D31" s="6" t="inlineStr"/>
      <c r="E31" s="6" t="inlineStr"/>
      <c r="F31" s="6" t="inlineStr"/>
      <c r="G31" s="6" t="inlineStr"/>
      <c r="H31" s="6" t="inlineStr"/>
      <c r="I31" s="6" t="inlineStr"/>
      <c r="J31" s="6" t="inlineStr"/>
    </row>
    <row r="32">
      <c r="A32" s="5" t="inlineStr"/>
      <c r="B32" s="5" t="inlineStr"/>
      <c r="C32" s="5" t="inlineStr"/>
      <c r="D32" s="5" t="inlineStr"/>
      <c r="E32" s="5" t="inlineStr"/>
      <c r="F32" s="5" t="inlineStr"/>
      <c r="G32" s="5" t="inlineStr"/>
      <c r="H32" s="5" t="inlineStr"/>
      <c r="I32" s="5" t="inlineStr"/>
      <c r="J32" s="5" t="inlineStr"/>
    </row>
    <row r="33">
      <c r="A33" s="6" t="inlineStr"/>
      <c r="B33" s="6" t="inlineStr"/>
      <c r="C33" s="6" t="inlineStr"/>
      <c r="D33" s="6" t="inlineStr"/>
      <c r="E33" s="6" t="inlineStr"/>
      <c r="F33" s="6" t="inlineStr"/>
      <c r="G33" s="6" t="inlineStr"/>
      <c r="H33" s="6" t="inlineStr"/>
      <c r="I33" s="6" t="inlineStr"/>
      <c r="J33" s="6" t="inlineStr"/>
    </row>
    <row r="34">
      <c r="A34" s="5" t="inlineStr"/>
      <c r="B34" s="5" t="inlineStr"/>
      <c r="C34" s="5" t="inlineStr"/>
      <c r="D34" s="5" t="inlineStr"/>
      <c r="E34" s="5" t="inlineStr"/>
      <c r="F34" s="5" t="inlineStr"/>
      <c r="G34" s="5" t="inlineStr"/>
      <c r="H34" s="5" t="inlineStr"/>
      <c r="I34" s="5" t="inlineStr"/>
      <c r="J34" s="5" t="inlineStr"/>
    </row>
    <row r="35">
      <c r="A35" s="6" t="inlineStr"/>
      <c r="B35" s="6" t="inlineStr"/>
      <c r="C35" s="6" t="inlineStr"/>
      <c r="D35" s="6" t="inlineStr"/>
      <c r="E35" s="6" t="inlineStr"/>
      <c r="F35" s="6" t="inlineStr"/>
      <c r="G35" s="6" t="inlineStr"/>
      <c r="H35" s="6" t="inlineStr"/>
      <c r="I35" s="6" t="inlineStr"/>
      <c r="J35" s="6" t="inlineStr"/>
    </row>
    <row r="37" ht="19" customHeight="1">
      <c r="A37" s="2" t="inlineStr">
        <is>
          <t>Turn Log</t>
        </is>
      </c>
    </row>
    <row r="38" ht="28" customHeight="1">
      <c r="A38" s="4" t="inlineStr">
        <is>
          <t>Turn</t>
        </is>
      </c>
      <c r="B38" s="4" t="inlineStr">
        <is>
          <t>Treasure +/–</t>
        </is>
      </c>
      <c r="C38" s="4" t="inlineStr">
        <is>
          <t>Action Taken</t>
        </is>
      </c>
      <c r="D38" s="4" t="inlineStr">
        <is>
          <t>Result</t>
        </is>
      </c>
      <c r="E38" s="4" t="inlineStr">
        <is>
          <t>Goal Progress</t>
        </is>
      </c>
      <c r="F38" s="4" t="inlineStr">
        <is>
          <t>Notes</t>
        </is>
      </c>
    </row>
    <row r="39">
      <c r="A39" s="5" t="n">
        <v>1</v>
      </c>
      <c r="B39" s="5" t="inlineStr"/>
      <c r="C39" s="5" t="inlineStr"/>
      <c r="D39" s="5" t="inlineStr"/>
      <c r="E39" s="5" t="inlineStr"/>
      <c r="F39" s="5" t="inlineStr"/>
    </row>
    <row r="40">
      <c r="A40" s="6" t="n">
        <v>2</v>
      </c>
      <c r="B40" s="6" t="inlineStr"/>
      <c r="C40" s="6" t="inlineStr"/>
      <c r="D40" s="6" t="inlineStr"/>
      <c r="E40" s="6" t="inlineStr"/>
      <c r="F40" s="6" t="inlineStr"/>
    </row>
    <row r="41">
      <c r="A41" s="5" t="n">
        <v>3</v>
      </c>
      <c r="B41" s="5" t="inlineStr"/>
      <c r="C41" s="5" t="inlineStr"/>
      <c r="D41" s="5" t="inlineStr"/>
      <c r="E41" s="5" t="inlineStr"/>
      <c r="F41" s="5" t="inlineStr"/>
    </row>
    <row r="42">
      <c r="A42" s="6" t="n">
        <v>4</v>
      </c>
      <c r="B42" s="6" t="inlineStr"/>
      <c r="C42" s="6" t="inlineStr"/>
      <c r="D42" s="6" t="inlineStr"/>
      <c r="E42" s="6" t="inlineStr"/>
      <c r="F42" s="6" t="inlineStr"/>
    </row>
    <row r="43">
      <c r="A43" s="5" t="n">
        <v>5</v>
      </c>
      <c r="B43" s="5" t="inlineStr"/>
      <c r="C43" s="5" t="inlineStr"/>
      <c r="D43" s="5" t="inlineStr"/>
      <c r="E43" s="5" t="inlineStr"/>
      <c r="F43" s="5" t="inlineStr"/>
    </row>
    <row r="44">
      <c r="A44" s="6" t="n">
        <v>6</v>
      </c>
      <c r="B44" s="6" t="inlineStr"/>
      <c r="C44" s="6" t="inlineStr"/>
      <c r="D44" s="6" t="inlineStr"/>
      <c r="E44" s="6" t="inlineStr"/>
      <c r="F44" s="6" t="inlineStr"/>
    </row>
    <row r="45">
      <c r="A45" s="5" t="n">
        <v>7</v>
      </c>
      <c r="B45" s="5" t="inlineStr"/>
      <c r="C45" s="5" t="inlineStr"/>
      <c r="D45" s="5" t="inlineStr"/>
      <c r="E45" s="5" t="inlineStr"/>
      <c r="F45" s="5" t="inlineStr"/>
    </row>
    <row r="46">
      <c r="A46" s="6" t="n">
        <v>8</v>
      </c>
      <c r="B46" s="6" t="inlineStr"/>
      <c r="C46" s="6" t="inlineStr"/>
      <c r="D46" s="6" t="inlineStr"/>
      <c r="E46" s="6" t="inlineStr"/>
      <c r="F46" s="6" t="inlineStr"/>
    </row>
    <row r="47">
      <c r="A47" s="5" t="n">
        <v>9</v>
      </c>
      <c r="B47" s="5" t="inlineStr"/>
      <c r="C47" s="5" t="inlineStr"/>
      <c r="D47" s="5" t="inlineStr"/>
      <c r="E47" s="5" t="inlineStr"/>
      <c r="F47" s="5" t="inlineStr"/>
    </row>
    <row r="48">
      <c r="A48" s="6" t="n">
        <v>10</v>
      </c>
      <c r="B48" s="6" t="inlineStr"/>
      <c r="C48" s="6" t="inlineStr"/>
      <c r="D48" s="6" t="inlineStr"/>
      <c r="E48" s="6" t="inlineStr"/>
      <c r="F48" s="6" t="inlineStr"/>
    </row>
    <row r="49">
      <c r="A49" s="5" t="n">
        <v>11</v>
      </c>
      <c r="B49" s="5" t="inlineStr"/>
      <c r="C49" s="5" t="inlineStr"/>
      <c r="D49" s="5" t="inlineStr"/>
      <c r="E49" s="5" t="inlineStr"/>
      <c r="F49" s="5" t="inlineStr"/>
    </row>
    <row r="50">
      <c r="A50" s="6" t="n">
        <v>12</v>
      </c>
      <c r="B50" s="6" t="inlineStr"/>
      <c r="C50" s="6" t="inlineStr"/>
      <c r="D50" s="6" t="inlineStr"/>
      <c r="E50" s="6" t="inlineStr"/>
      <c r="F50" s="6" t="inlineStr"/>
    </row>
  </sheetData>
  <mergeCells count="7">
    <mergeCell ref="A2:F2"/>
    <mergeCell ref="A19:F19"/>
    <mergeCell ref="A1:F1"/>
    <mergeCell ref="A5:F5"/>
    <mergeCell ref="A37:F37"/>
    <mergeCell ref="A26:F26"/>
    <mergeCell ref="A3:F3"/>
  </mergeCells>
  <pageMargins left="0.75" right="0.75" top="1" bottom="1" header="0.5" footer="0.5"/>
</worksheet>
</file>

<file path=xl/worksheets/sheet19.xml><?xml version="1.0" encoding="utf-8"?>
<worksheet xmlns="http://schemas.openxmlformats.org/spreadsheetml/2006/main">
  <sheetPr>
    <tabColor rgb="00808080"/>
    <outlinePr summaryBelow="1" summaryRight="1"/>
    <pageSetUpPr/>
  </sheetPr>
  <dimension ref="A1:AZ78"/>
  <sheetViews>
    <sheetView workbookViewId="0">
      <selection activeCell="A1" sqref="A1"/>
    </sheetView>
  </sheetViews>
  <sheetFormatPr baseColWidth="8" defaultRowHeight="15"/>
  <cols>
    <col width="2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40" customWidth="1" min="21" max="21"/>
    <col width="12" customWidth="1" min="23" max="23"/>
    <col width="12" customWidth="1" min="24" max="24"/>
    <col width="12" customWidth="1" min="25" max="25"/>
    <col width="12" customWidth="1" min="26" max="26"/>
    <col width="12" customWidth="1" min="27" max="27"/>
    <col width="12" customWidth="1" min="28" max="28"/>
    <col width="28" customWidth="1" min="29" max="29"/>
    <col width="28" customWidth="1" min="31" max="31"/>
    <col width="50" customWidth="1" min="32" max="32"/>
  </cols>
  <sheetData>
    <row r="1">
      <c r="A1" s="15" t="inlineStr">
        <is>
          <t>Name</t>
        </is>
      </c>
      <c r="B1" s="15" t="inlineStr">
        <is>
          <t>Category</t>
        </is>
      </c>
      <c r="C1" s="15" t="inlineStr">
        <is>
          <t>Type</t>
        </is>
      </c>
      <c r="D1" s="15" t="inlineStr">
        <is>
          <t>Cost</t>
        </is>
      </c>
      <c r="E1" s="15" t="inlineStr">
        <is>
          <t>MaxHP</t>
        </is>
      </c>
      <c r="F1" s="15" t="inlineStr">
        <is>
          <t>AtkText</t>
        </is>
      </c>
      <c r="G1" s="15" t="inlineStr">
        <is>
          <t>AtkAttr</t>
        </is>
      </c>
      <c r="H1" s="15" t="inlineStr">
        <is>
          <t>DefAttr</t>
        </is>
      </c>
      <c r="I1" s="15" t="inlineStr">
        <is>
          <t>DmgText</t>
        </is>
      </c>
      <c r="J1" s="15" t="inlineStr">
        <is>
          <t>DmgN</t>
        </is>
      </c>
      <c r="K1" s="15" t="inlineStr">
        <is>
          <t>DmgDie</t>
        </is>
      </c>
      <c r="L1" s="15" t="inlineStr">
        <is>
          <t>CtrText</t>
        </is>
      </c>
      <c r="M1" s="15" t="inlineStr">
        <is>
          <t>CtrN</t>
        </is>
      </c>
      <c r="N1" s="15" t="inlineStr">
        <is>
          <t>CtrDie</t>
        </is>
      </c>
      <c r="O1" s="15" t="inlineStr">
        <is>
          <t>MinAttrText</t>
        </is>
      </c>
      <c r="P1" s="15" t="inlineStr">
        <is>
          <t>Req1Attr</t>
        </is>
      </c>
      <c r="Q1" s="15" t="inlineStr">
        <is>
          <t>Req1Val</t>
        </is>
      </c>
      <c r="R1" s="15" t="inlineStr">
        <is>
          <t>Req2Attr</t>
        </is>
      </c>
      <c r="S1" s="15" t="inlineStr">
        <is>
          <t>Req2Val</t>
        </is>
      </c>
      <c r="T1" s="15" t="inlineStr">
        <is>
          <t>Traits</t>
        </is>
      </c>
      <c r="U1" s="15" t="inlineStr">
        <is>
          <t>Notes</t>
        </is>
      </c>
      <c r="W1" s="15" t="inlineStr">
        <is>
          <t>Faction</t>
        </is>
      </c>
      <c r="X1" s="15" t="inlineStr">
        <is>
          <t>Force</t>
        </is>
      </c>
      <c r="Y1" s="15" t="inlineStr">
        <is>
          <t>Cunning</t>
        </is>
      </c>
      <c r="Z1" s="15" t="inlineStr">
        <is>
          <t>Wealth</t>
        </is>
      </c>
      <c r="AA1" s="15" t="inlineStr">
        <is>
          <t>Magic</t>
        </is>
      </c>
      <c r="AB1" s="15" t="inlineStr">
        <is>
          <t>Treasure</t>
        </is>
      </c>
      <c r="AC1" s="15" t="inlineStr">
        <is>
          <t>HQ</t>
        </is>
      </c>
      <c r="AE1" s="15" t="inlineStr">
        <is>
          <t>Location</t>
        </is>
      </c>
      <c r="AF1" s="15" t="inlineStr">
        <is>
          <t>Note</t>
        </is>
      </c>
      <c r="AG1" s="11" t="inlineStr">
        <is>
          <t>-- per-faction current assets --</t>
        </is>
      </c>
      <c r="AH1" s="11" t="inlineStr">
        <is>
          <t>The Knotsmen</t>
        </is>
      </c>
      <c r="AI1" s="11" t="inlineStr">
        <is>
          <t>The Aelf-Adal</t>
        </is>
      </c>
      <c r="AJ1" s="11" t="inlineStr">
        <is>
          <t>The Funginids</t>
        </is>
      </c>
      <c r="AK1" s="11" t="inlineStr">
        <is>
          <t>The dErO</t>
        </is>
      </c>
      <c r="AL1" s="11" t="inlineStr">
        <is>
          <t>The Dvargir</t>
        </is>
      </c>
      <c r="AM1" s="11" t="inlineStr">
        <is>
          <t>The Gnonmen</t>
        </is>
      </c>
      <c r="AN1" s="11" t="inlineStr">
        <is>
          <t>The Substratals</t>
        </is>
      </c>
      <c r="AO1" s="11" t="inlineStr">
        <is>
          <t>The Deep Janeen</t>
        </is>
      </c>
      <c r="AP1" s="11" t="inlineStr">
        <is>
          <t>The Olm</t>
        </is>
      </c>
      <c r="AQ1" s="11" t="inlineStr">
        <is>
          <t>-- per-faction creatable assets --</t>
        </is>
      </c>
      <c r="AR1" s="11" t="inlineStr">
        <is>
          <t>The Knotsmen</t>
        </is>
      </c>
      <c r="AS1" s="11" t="inlineStr">
        <is>
          <t>The Aelf-Adal</t>
        </is>
      </c>
      <c r="AT1" s="11" t="inlineStr">
        <is>
          <t>The Funginids</t>
        </is>
      </c>
      <c r="AU1" s="11" t="inlineStr">
        <is>
          <t>The dErO</t>
        </is>
      </c>
      <c r="AV1" s="11" t="inlineStr">
        <is>
          <t>The Dvargir</t>
        </is>
      </c>
      <c r="AW1" s="11" t="inlineStr">
        <is>
          <t>The Gnonmen</t>
        </is>
      </c>
      <c r="AX1" s="11" t="inlineStr">
        <is>
          <t>The Substratals</t>
        </is>
      </c>
      <c r="AY1" s="11" t="inlineStr">
        <is>
          <t>The Deep Janeen</t>
        </is>
      </c>
      <c r="AZ1" s="11" t="inlineStr">
        <is>
          <t>The Olm</t>
        </is>
      </c>
    </row>
    <row r="2">
      <c r="A2" t="inlineStr">
        <is>
          <t>Militia</t>
        </is>
      </c>
      <c r="B2" t="inlineStr">
        <is>
          <t>Force / Standard</t>
        </is>
      </c>
      <c r="C2" t="inlineStr">
        <is>
          <t>Force</t>
        </is>
      </c>
      <c r="D2" t="n">
        <v>1</v>
      </c>
      <c r="E2" t="n">
        <v>4</v>
      </c>
      <c r="F2" t="inlineStr">
        <is>
          <t>F vs F</t>
        </is>
      </c>
      <c r="G2" t="inlineStr">
        <is>
          <t>Force</t>
        </is>
      </c>
      <c r="H2" t="inlineStr">
        <is>
          <t>Force</t>
        </is>
      </c>
      <c r="I2" t="inlineStr">
        <is>
          <t>1d4</t>
        </is>
      </c>
      <c r="J2" t="n">
        <v>1</v>
      </c>
      <c r="K2" t="n">
        <v>4</v>
      </c>
      <c r="L2" t="inlineStr">
        <is>
          <t>1d4</t>
        </is>
      </c>
      <c r="M2" t="n">
        <v>1</v>
      </c>
      <c r="N2" t="n">
        <v>4</v>
      </c>
      <c r="O2" t="inlineStr">
        <is>
          <t>Force 1</t>
        </is>
      </c>
      <c r="P2" t="inlineStr">
        <is>
          <t>Force</t>
        </is>
      </c>
      <c r="Q2" t="n">
        <v>1</v>
      </c>
      <c r="R2" t="inlineStr"/>
      <c r="S2" t="n">
        <v>0</v>
      </c>
      <c r="T2" t="inlineStr">
        <is>
          <t>—</t>
        </is>
      </c>
      <c r="U2" t="inlineStr">
        <is>
          <t>Cheap, locally-raised levies. Easy to recruit, easy to break.</t>
        </is>
      </c>
      <c r="W2" t="inlineStr">
        <is>
          <t>The Knotsmen</t>
        </is>
      </c>
      <c r="X2" t="n">
        <v>2</v>
      </c>
      <c r="Y2" t="n">
        <v>4</v>
      </c>
      <c r="Z2" t="n">
        <v>4</v>
      </c>
      <c r="AA2" t="n">
        <v>2</v>
      </c>
      <c r="AB2" t="n">
        <v>8</v>
      </c>
      <c r="AC2" t="inlineStr">
        <is>
          <t>Gordiam</t>
        </is>
      </c>
      <c r="AE2" t="inlineStr">
        <is>
          <t>Celephais</t>
        </is>
      </c>
      <c r="AF2" t="inlineStr">
        <is>
          <t>Aelf-Adal capital — the dream-city.</t>
        </is>
      </c>
      <c r="AH2">
        <f>IFERROR(SORT(UNIQUE(FILTER(Register[Asset], Register[Faction]="The Knotsmen", "(none)"))), "(none)")</f>
        <v/>
      </c>
      <c r="AI2">
        <f>IFERROR(SORT(UNIQUE(FILTER(Register[Asset], Register[Faction]="The Aelf-Adal", "(none)"))), "(none)")</f>
        <v/>
      </c>
      <c r="AJ2">
        <f>IFERROR(SORT(UNIQUE(FILTER(Register[Asset], Register[Faction]="The Funginids", "(none)"))), "(none)")</f>
        <v/>
      </c>
      <c r="AK2">
        <f>IFERROR(SORT(UNIQUE(FILTER(Register[Asset], Register[Faction]="The dErO", "(none)"))), "(none)")</f>
        <v/>
      </c>
      <c r="AL2">
        <f>IFERROR(SORT(UNIQUE(FILTER(Register[Asset], Register[Faction]="The Dvargir", "(none)"))), "(none)")</f>
        <v/>
      </c>
      <c r="AM2">
        <f>IFERROR(SORT(UNIQUE(FILTER(Register[Asset], Register[Faction]="The Gnonmen", "(none)"))), "(none)")</f>
        <v/>
      </c>
      <c r="AN2">
        <f>IFERROR(SORT(UNIQUE(FILTER(Register[Asset], Register[Faction]="The Substratals", "(none)"))), "(none)")</f>
        <v/>
      </c>
      <c r="AO2">
        <f>IFERROR(SORT(UNIQUE(FILTER(Register[Asset], Register[Faction]="The Deep Janeen", "(none)"))), "(none)")</f>
        <v/>
      </c>
      <c r="AP2">
        <f>IFERROR(SORT(UNIQUE(FILTER(Register[Asset], Register[Faction]="The Olm", "(none)"))), "(none)")</f>
        <v/>
      </c>
      <c r="AR2">
        <f>IFERROR(SORT(FILTER(Catalog[Name], (Catalog[Cost]&lt;=XLOOKUP("The Knotsmen",FactionState[Faction],FactionState[Treasure]))*((Catalog[Req1Attr]="")+((Catalog[Req1Attr]="Force")*(Catalog[Req1Val]&lt;=XLOOKUP("The Knotsmen",FactionState[Faction],FactionState[Force])))+((Catalog[Req1Attr]="Cunning")*(Catalog[Req1Val]&lt;=XLOOKUP("The Knotsmen",FactionState[Faction],FactionState[Cunning])))+((Catalog[Req1Attr]="Wealth")*(Catalog[Req1Val]&lt;=XLOOKUP("The Knotsmen",FactionState[Faction],FactionState[Wealth])))+((Catalog[Req1Attr]="Magic")*(Catalog[Req1Val]&lt;=XLOOKUP("The Knotsmen",FactionState[Faction],FactionState[Magic]))))*((Catalog[Req2Attr]="")+((Catalog[Req2Attr]="Force")*(Catalog[Req2Val]&lt;=XLOOKUP("The Knotsmen",FactionState[Faction],FactionState[Force])))+((Catalog[Req2Attr]="Cunning")*(Catalog[Req2Val]&lt;=XLOOKUP("The Knotsmen",FactionState[Faction],FactionState[Cunning])))+((Catalog[Req2Attr]="Wealth")*(Catalog[Req2Val]&lt;=XLOOKUP("The Knotsmen",FactionState[Faction],FactionState[Wealth])))+((Catalog[Req2Attr]="Magic")*(Catalog[Req2Val]&lt;=XLOOKUP("The Knotsmen",FactionState[Faction],FactionState[Magic])))), "(none)")), "(none)")</f>
        <v/>
      </c>
      <c r="AS2">
        <f>IFERROR(SORT(FILTER(Catalog[Name], (Catalog[Cost]&lt;=XLOOKUP("The Aelf-Adal",FactionState[Faction],FactionState[Treasure]))*((Catalog[Req1Attr]="")+((Catalog[Req1Attr]="Force")*(Catalog[Req1Val]&lt;=XLOOKUP("The Aelf-Adal",FactionState[Faction],FactionState[Force])))+((Catalog[Req1Attr]="Cunning")*(Catalog[Req1Val]&lt;=XLOOKUP("The Aelf-Adal",FactionState[Faction],FactionState[Cunning])))+((Catalog[Req1Attr]="Wealth")*(Catalog[Req1Val]&lt;=XLOOKUP("The Aelf-Adal",FactionState[Faction],FactionState[Wealth])))+((Catalog[Req1Attr]="Magic")*(Catalog[Req1Val]&lt;=XLOOKUP("The Aelf-Adal",FactionState[Faction],FactionState[Magic]))))*((Catalog[Req2Attr]="")+((Catalog[Req2Attr]="Force")*(Catalog[Req2Val]&lt;=XLOOKUP("The Aelf-Adal",FactionState[Faction],FactionState[Force])))+((Catalog[Req2Attr]="Cunning")*(Catalog[Req2Val]&lt;=XLOOKUP("The Aelf-Adal",FactionState[Faction],FactionState[Cunning])))+((Catalog[Req2Attr]="Wealth")*(Catalog[Req2Val]&lt;=XLOOKUP("The Aelf-Adal",FactionState[Faction],FactionState[Wealth])))+((Catalog[Req2Attr]="Magic")*(Catalog[Req2Val]&lt;=XLOOKUP("The Aelf-Adal",FactionState[Faction],FactionState[Magic])))), "(none)")), "(none)")</f>
        <v/>
      </c>
      <c r="AT2">
        <f>IFERROR(SORT(FILTER(Catalog[Name], (Catalog[Cost]&lt;=XLOOKUP("The Funginids",FactionState[Faction],FactionState[Treasure]))*((Catalog[Req1Attr]="")+((Catalog[Req1Attr]="Force")*(Catalog[Req1Val]&lt;=XLOOKUP("The Funginids",FactionState[Faction],FactionState[Force])))+((Catalog[Req1Attr]="Cunning")*(Catalog[Req1Val]&lt;=XLOOKUP("The Funginids",FactionState[Faction],FactionState[Cunning])))+((Catalog[Req1Attr]="Wealth")*(Catalog[Req1Val]&lt;=XLOOKUP("The Funginids",FactionState[Faction],FactionState[Wealth])))+((Catalog[Req1Attr]="Magic")*(Catalog[Req1Val]&lt;=XLOOKUP("The Funginids",FactionState[Faction],FactionState[Magic]))))*((Catalog[Req2Attr]="")+((Catalog[Req2Attr]="Force")*(Catalog[Req2Val]&lt;=XLOOKUP("The Funginids",FactionState[Faction],FactionState[Force])))+((Catalog[Req2Attr]="Cunning")*(Catalog[Req2Val]&lt;=XLOOKUP("The Funginids",FactionState[Faction],FactionState[Cunning])))+((Catalog[Req2Attr]="Wealth")*(Catalog[Req2Val]&lt;=XLOOKUP("The Funginids",FactionState[Faction],FactionState[Wealth])))+((Catalog[Req2Attr]="Magic")*(Catalog[Req2Val]&lt;=XLOOKUP("The Funginids",FactionState[Faction],FactionState[Magic])))), "(none)")), "(none)")</f>
        <v/>
      </c>
      <c r="AU2">
        <f>IFERROR(SORT(FILTER(Catalog[Name], (Catalog[Cost]&lt;=XLOOKUP("The dErO",FactionState[Faction],FactionState[Treasure]))*((Catalog[Req1Attr]="")+((Catalog[Req1Attr]="Force")*(Catalog[Req1Val]&lt;=XLOOKUP("The dErO",FactionState[Faction],FactionState[Force])))+((Catalog[Req1Attr]="Cunning")*(Catalog[Req1Val]&lt;=XLOOKUP("The dErO",FactionState[Faction],FactionState[Cunning])))+((Catalog[Req1Attr]="Wealth")*(Catalog[Req1Val]&lt;=XLOOKUP("The dErO",FactionState[Faction],FactionState[Wealth])))+((Catalog[Req1Attr]="Magic")*(Catalog[Req1Val]&lt;=XLOOKUP("The dErO",FactionState[Faction],FactionState[Magic]))))*((Catalog[Req2Attr]="")+((Catalog[Req2Attr]="Force")*(Catalog[Req2Val]&lt;=XLOOKUP("The dErO",FactionState[Faction],FactionState[Force])))+((Catalog[Req2Attr]="Cunning")*(Catalog[Req2Val]&lt;=XLOOKUP("The dErO",FactionState[Faction],FactionState[Cunning])))+((Catalog[Req2Attr]="Wealth")*(Catalog[Req2Val]&lt;=XLOOKUP("The dErO",FactionState[Faction],FactionState[Wealth])))+((Catalog[Req2Attr]="Magic")*(Catalog[Req2Val]&lt;=XLOOKUP("The dErO",FactionState[Faction],FactionState[Magic])))), "(none)")), "(none)")</f>
        <v/>
      </c>
      <c r="AV2">
        <f>IFERROR(SORT(FILTER(Catalog[Name], (Catalog[Cost]&lt;=XLOOKUP("The Dvargir",FactionState[Faction],FactionState[Treasure]))*((Catalog[Req1Attr]="")+((Catalog[Req1Attr]="Force")*(Catalog[Req1Val]&lt;=XLOOKUP("The Dvargir",FactionState[Faction],FactionState[Force])))+((Catalog[Req1Attr]="Cunning")*(Catalog[Req1Val]&lt;=XLOOKUP("The Dvargir",FactionState[Faction],FactionState[Cunning])))+((Catalog[Req1Attr]="Wealth")*(Catalog[Req1Val]&lt;=XLOOKUP("The Dvargir",FactionState[Faction],FactionState[Wealth])))+((Catalog[Req1Attr]="Magic")*(Catalog[Req1Val]&lt;=XLOOKUP("The Dvargir",FactionState[Faction],FactionState[Magic]))))*((Catalog[Req2Attr]="")+((Catalog[Req2Attr]="Force")*(Catalog[Req2Val]&lt;=XLOOKUP("The Dvargir",FactionState[Faction],FactionState[Force])))+((Catalog[Req2Attr]="Cunning")*(Catalog[Req2Val]&lt;=XLOOKUP("The Dvargir",FactionState[Faction],FactionState[Cunning])))+((Catalog[Req2Attr]="Wealth")*(Catalog[Req2Val]&lt;=XLOOKUP("The Dvargir",FactionState[Faction],FactionState[Wealth])))+((Catalog[Req2Attr]="Magic")*(Catalog[Req2Val]&lt;=XLOOKUP("The Dvargir",FactionState[Faction],FactionState[Magic])))), "(none)")), "(none)")</f>
        <v/>
      </c>
      <c r="AW2">
        <f>IFERROR(SORT(FILTER(Catalog[Name], (Catalog[Cost]&lt;=XLOOKUP("The Gnonmen",FactionState[Faction],FactionState[Treasure]))*((Catalog[Req1Attr]="")+((Catalog[Req1Attr]="Force")*(Catalog[Req1Val]&lt;=XLOOKUP("The Gnonmen",FactionState[Faction],FactionState[Force])))+((Catalog[Req1Attr]="Cunning")*(Catalog[Req1Val]&lt;=XLOOKUP("The Gnonmen",FactionState[Faction],FactionState[Cunning])))+((Catalog[Req1Attr]="Wealth")*(Catalog[Req1Val]&lt;=XLOOKUP("The Gnonmen",FactionState[Faction],FactionState[Wealth])))+((Catalog[Req1Attr]="Magic")*(Catalog[Req1Val]&lt;=XLOOKUP("The Gnonmen",FactionState[Faction],FactionState[Magic]))))*((Catalog[Req2Attr]="")+((Catalog[Req2Attr]="Force")*(Catalog[Req2Val]&lt;=XLOOKUP("The Gnonmen",FactionState[Faction],FactionState[Force])))+((Catalog[Req2Attr]="Cunning")*(Catalog[Req2Val]&lt;=XLOOKUP("The Gnonmen",FactionState[Faction],FactionState[Cunning])))+((Catalog[Req2Attr]="Wealth")*(Catalog[Req2Val]&lt;=XLOOKUP("The Gnonmen",FactionState[Faction],FactionState[Wealth])))+((Catalog[Req2Attr]="Magic")*(Catalog[Req2Val]&lt;=XLOOKUP("The Gnonmen",FactionState[Faction],FactionState[Magic])))), "(none)")), "(none)")</f>
        <v/>
      </c>
      <c r="AX2">
        <f>IFERROR(SORT(FILTER(Catalog[Name], (Catalog[Cost]&lt;=XLOOKUP("The Substratals",FactionState[Faction],FactionState[Treasure]))*((Catalog[Req1Attr]="")+((Catalog[Req1Attr]="Force")*(Catalog[Req1Val]&lt;=XLOOKUP("The Substratals",FactionState[Faction],FactionState[Force])))+((Catalog[Req1Attr]="Cunning")*(Catalog[Req1Val]&lt;=XLOOKUP("The Substratals",FactionState[Faction],FactionState[Cunning])))+((Catalog[Req1Attr]="Wealth")*(Catalog[Req1Val]&lt;=XLOOKUP("The Substratals",FactionState[Faction],FactionState[Wealth])))+((Catalog[Req1Attr]="Magic")*(Catalog[Req1Val]&lt;=XLOOKUP("The Substratals",FactionState[Faction],FactionState[Magic]))))*((Catalog[Req2Attr]="")+((Catalog[Req2Attr]="Force")*(Catalog[Req2Val]&lt;=XLOOKUP("The Substratals",FactionState[Faction],FactionState[Force])))+((Catalog[Req2Attr]="Cunning")*(Catalog[Req2Val]&lt;=XLOOKUP("The Substratals",FactionState[Faction],FactionState[Cunning])))+((Catalog[Req2Attr]="Wealth")*(Catalog[Req2Val]&lt;=XLOOKUP("The Substratals",FactionState[Faction],FactionState[Wealth])))+((Catalog[Req2Attr]="Magic")*(Catalog[Req2Val]&lt;=XLOOKUP("The Substratals",FactionState[Faction],FactionState[Magic])))), "(none)")), "(none)")</f>
        <v/>
      </c>
      <c r="AY2">
        <f>IFERROR(SORT(FILTER(Catalog[Name], (Catalog[Cost]&lt;=XLOOKUP("The Deep Janeen",FactionState[Faction],FactionState[Treasure]))*((Catalog[Req1Attr]="")+((Catalog[Req1Attr]="Force")*(Catalog[Req1Val]&lt;=XLOOKUP("The Deep Janeen",FactionState[Faction],FactionState[Force])))+((Catalog[Req1Attr]="Cunning")*(Catalog[Req1Val]&lt;=XLOOKUP("The Deep Janeen",FactionState[Faction],FactionState[Cunning])))+((Catalog[Req1Attr]="Wealth")*(Catalog[Req1Val]&lt;=XLOOKUP("The Deep Janeen",FactionState[Faction],FactionState[Wealth])))+((Catalog[Req1Attr]="Magic")*(Catalog[Req1Val]&lt;=XLOOKUP("The Deep Janeen",FactionState[Faction],FactionState[Magic]))))*((Catalog[Req2Attr]="")+((Catalog[Req2Attr]="Force")*(Catalog[Req2Val]&lt;=XLOOKUP("The Deep Janeen",FactionState[Faction],FactionState[Force])))+((Catalog[Req2Attr]="Cunning")*(Catalog[Req2Val]&lt;=XLOOKUP("The Deep Janeen",FactionState[Faction],FactionState[Cunning])))+((Catalog[Req2Attr]="Wealth")*(Catalog[Req2Val]&lt;=XLOOKUP("The Deep Janeen",FactionState[Faction],FactionState[Wealth])))+((Catalog[Req2Attr]="Magic")*(Catalog[Req2Val]&lt;=XLOOKUP("The Deep Janeen",FactionState[Faction],FactionState[Magic])))), "(none)")), "(none)")</f>
        <v/>
      </c>
      <c r="AZ2">
        <f>IFERROR(SORT(FILTER(Catalog[Name], (Catalog[Cost]&lt;=XLOOKUP("The Olm",FactionState[Faction],FactionState[Treasure]))*((Catalog[Req1Attr]="")+((Catalog[Req1Attr]="Force")*(Catalog[Req1Val]&lt;=XLOOKUP("The Olm",FactionState[Faction],FactionState[Force])))+((Catalog[Req1Attr]="Cunning")*(Catalog[Req1Val]&lt;=XLOOKUP("The Olm",FactionState[Faction],FactionState[Cunning])))+((Catalog[Req1Attr]="Wealth")*(Catalog[Req1Val]&lt;=XLOOKUP("The Olm",FactionState[Faction],FactionState[Wealth])))+((Catalog[Req1Attr]="Magic")*(Catalog[Req1Val]&lt;=XLOOKUP("The Olm",FactionState[Faction],FactionState[Magic]))))*((Catalog[Req2Attr]="")+((Catalog[Req2Attr]="Force")*(Catalog[Req2Val]&lt;=XLOOKUP("The Olm",FactionState[Faction],FactionState[Force])))+((Catalog[Req2Attr]="Cunning")*(Catalog[Req2Val]&lt;=XLOOKUP("The Olm",FactionState[Faction],FactionState[Cunning])))+((Catalog[Req2Attr]="Wealth")*(Catalog[Req2Val]&lt;=XLOOKUP("The Olm",FactionState[Faction],FactionState[Wealth])))+((Catalog[Req2Attr]="Magic")*(Catalog[Req2Val]&lt;=XLOOKUP("The Olm",FactionState[Faction],FactionState[Magic])))), "(none)")), "(none)")</f>
        <v/>
      </c>
    </row>
    <row r="3">
      <c r="A3" t="inlineStr">
        <is>
          <t>Brigands</t>
        </is>
      </c>
      <c r="B3" t="inlineStr">
        <is>
          <t>Force / Standard</t>
        </is>
      </c>
      <c r="C3" t="inlineStr">
        <is>
          <t>Force</t>
        </is>
      </c>
      <c r="D3" t="n">
        <v>2</v>
      </c>
      <c r="E3" t="n">
        <v>6</v>
      </c>
      <c r="F3" t="inlineStr">
        <is>
          <t>F vs F</t>
        </is>
      </c>
      <c r="G3" t="inlineStr">
        <is>
          <t>Force</t>
        </is>
      </c>
      <c r="H3" t="inlineStr">
        <is>
          <t>Force</t>
        </is>
      </c>
      <c r="I3" t="inlineStr">
        <is>
          <t>1d6</t>
        </is>
      </c>
      <c r="J3" t="n">
        <v>1</v>
      </c>
      <c r="K3" t="n">
        <v>6</v>
      </c>
      <c r="L3" t="inlineStr">
        <is>
          <t>1d4</t>
        </is>
      </c>
      <c r="M3" t="n">
        <v>1</v>
      </c>
      <c r="N3" t="n">
        <v>4</v>
      </c>
      <c r="O3" t="inlineStr">
        <is>
          <t>Force 1</t>
        </is>
      </c>
      <c r="P3" t="inlineStr">
        <is>
          <t>Force</t>
        </is>
      </c>
      <c r="Q3" t="n">
        <v>1</v>
      </c>
      <c r="R3" t="inlineStr"/>
      <c r="S3" t="n">
        <v>0</v>
      </c>
      <c r="T3" t="inlineStr">
        <is>
          <t>Mobile</t>
        </is>
      </c>
      <c r="U3" t="inlineStr">
        <is>
          <t>Bandit-style irregulars; lives off the land.</t>
        </is>
      </c>
      <c r="W3" t="inlineStr">
        <is>
          <t>The Aelf-Adal</t>
        </is>
      </c>
      <c r="X3" t="n">
        <v>3</v>
      </c>
      <c r="Y3" t="n">
        <v>5</v>
      </c>
      <c r="Z3" t="n">
        <v>2</v>
      </c>
      <c r="AA3" t="n">
        <v>4</v>
      </c>
      <c r="AB3" t="n">
        <v>6</v>
      </c>
      <c r="AC3" t="inlineStr">
        <is>
          <t>Celephais</t>
        </is>
      </c>
      <c r="AE3" t="inlineStr">
        <is>
          <t>Nox</t>
        </is>
      </c>
      <c r="AF3" t="inlineStr">
        <is>
          <t>Great shared city; most factions keep a presence here.</t>
        </is>
      </c>
    </row>
    <row r="4">
      <c r="A4" t="inlineStr">
        <is>
          <t>Mercenaries</t>
        </is>
      </c>
      <c r="B4" t="inlineStr">
        <is>
          <t>Force / Standard</t>
        </is>
      </c>
      <c r="C4" t="inlineStr">
        <is>
          <t>Force</t>
        </is>
      </c>
      <c r="D4" t="n">
        <v>4</v>
      </c>
      <c r="E4" t="n">
        <v>6</v>
      </c>
      <c r="F4" t="inlineStr">
        <is>
          <t>F vs F</t>
        </is>
      </c>
      <c r="G4" t="inlineStr">
        <is>
          <t>Force</t>
        </is>
      </c>
      <c r="H4" t="inlineStr">
        <is>
          <t>Force</t>
        </is>
      </c>
      <c r="I4" t="inlineStr">
        <is>
          <t>1d8</t>
        </is>
      </c>
      <c r="J4" t="n">
        <v>1</v>
      </c>
      <c r="K4" t="n">
        <v>8</v>
      </c>
      <c r="L4" t="inlineStr">
        <is>
          <t>1d6</t>
        </is>
      </c>
      <c r="M4" t="n">
        <v>1</v>
      </c>
      <c r="N4" t="n">
        <v>6</v>
      </c>
      <c r="O4" t="inlineStr">
        <is>
          <t>Force 2</t>
        </is>
      </c>
      <c r="P4" t="inlineStr">
        <is>
          <t>Force</t>
        </is>
      </c>
      <c r="Q4" t="n">
        <v>2</v>
      </c>
      <c r="R4" t="inlineStr"/>
      <c r="S4" t="n">
        <v>0</v>
      </c>
      <c r="T4" t="inlineStr">
        <is>
          <t>—</t>
        </is>
      </c>
      <c r="U4" t="inlineStr">
        <is>
          <t>Paid blades. Reliable until the gold runs out.</t>
        </is>
      </c>
      <c r="W4" t="inlineStr">
        <is>
          <t>The Funginids</t>
        </is>
      </c>
      <c r="X4" t="n">
        <v>2</v>
      </c>
      <c r="Y4" t="n">
        <v>4</v>
      </c>
      <c r="Z4" t="n">
        <v>1</v>
      </c>
      <c r="AA4" t="n">
        <v>3</v>
      </c>
      <c r="AB4" t="n">
        <v>3</v>
      </c>
      <c r="AC4" t="inlineStr">
        <is>
          <t>Genet</t>
        </is>
      </c>
      <c r="AE4" t="inlineStr">
        <is>
          <t>Isles of the Imprisoned Moon</t>
        </is>
      </c>
      <c r="AF4" t="inlineStr">
        <is>
          <t>Unclaimed / contested — dErO and Olm both press here.</t>
        </is>
      </c>
    </row>
    <row r="5">
      <c r="A5" t="inlineStr">
        <is>
          <t>Infantry</t>
        </is>
      </c>
      <c r="B5" t="inlineStr">
        <is>
          <t>Force / Standard</t>
        </is>
      </c>
      <c r="C5" t="inlineStr">
        <is>
          <t>Force</t>
        </is>
      </c>
      <c r="D5" t="n">
        <v>4</v>
      </c>
      <c r="E5" t="n">
        <v>8</v>
      </c>
      <c r="F5" t="inlineStr">
        <is>
          <t>F vs F</t>
        </is>
      </c>
      <c r="G5" t="inlineStr">
        <is>
          <t>Force</t>
        </is>
      </c>
      <c r="H5" t="inlineStr">
        <is>
          <t>Force</t>
        </is>
      </c>
      <c r="I5" t="inlineStr">
        <is>
          <t>1d8</t>
        </is>
      </c>
      <c r="J5" t="n">
        <v>1</v>
      </c>
      <c r="K5" t="n">
        <v>8</v>
      </c>
      <c r="L5" t="inlineStr">
        <is>
          <t>1d6</t>
        </is>
      </c>
      <c r="M5" t="n">
        <v>1</v>
      </c>
      <c r="N5" t="n">
        <v>6</v>
      </c>
      <c r="O5" t="inlineStr">
        <is>
          <t>Force 2</t>
        </is>
      </c>
      <c r="P5" t="inlineStr">
        <is>
          <t>Force</t>
        </is>
      </c>
      <c r="Q5" t="n">
        <v>2</v>
      </c>
      <c r="R5" t="inlineStr"/>
      <c r="S5" t="n">
        <v>0</v>
      </c>
      <c r="T5" t="inlineStr">
        <is>
          <t>—</t>
        </is>
      </c>
      <c r="U5" t="inlineStr">
        <is>
          <t>Disciplined foot soldiers; the workhorse of any faction.</t>
        </is>
      </c>
      <c r="W5" t="inlineStr">
        <is>
          <t>The dErO</t>
        </is>
      </c>
      <c r="X5" t="n">
        <v>3</v>
      </c>
      <c r="Y5" t="n">
        <v>4</v>
      </c>
      <c r="Z5" t="n">
        <v>2</v>
      </c>
      <c r="AA5" t="n">
        <v>3</v>
      </c>
      <c r="AB5" t="n">
        <v>4</v>
      </c>
      <c r="AC5" t="inlineStr">
        <is>
          <t>No fixed capital — cells across the Veins</t>
        </is>
      </c>
      <c r="AE5" t="inlineStr">
        <is>
          <t>Comorragh</t>
        </is>
      </c>
      <c r="AF5" t="inlineStr">
        <is>
          <t>Fractal War-Mine of the Dvargir.</t>
        </is>
      </c>
    </row>
    <row r="6">
      <c r="A6" t="inlineStr">
        <is>
          <t>Light Cavalry</t>
        </is>
      </c>
      <c r="B6" t="inlineStr">
        <is>
          <t>Force / Standard</t>
        </is>
      </c>
      <c r="C6" t="inlineStr">
        <is>
          <t>Force</t>
        </is>
      </c>
      <c r="D6" t="n">
        <v>5</v>
      </c>
      <c r="E6" t="n">
        <v>8</v>
      </c>
      <c r="F6" t="inlineStr">
        <is>
          <t>F vs F</t>
        </is>
      </c>
      <c r="G6" t="inlineStr">
        <is>
          <t>Force</t>
        </is>
      </c>
      <c r="H6" t="inlineStr">
        <is>
          <t>Force</t>
        </is>
      </c>
      <c r="I6" t="inlineStr">
        <is>
          <t>1d8</t>
        </is>
      </c>
      <c r="J6" t="n">
        <v>1</v>
      </c>
      <c r="K6" t="n">
        <v>8</v>
      </c>
      <c r="L6" t="inlineStr">
        <is>
          <t>1d6</t>
        </is>
      </c>
      <c r="M6" t="n">
        <v>1</v>
      </c>
      <c r="N6" t="n">
        <v>6</v>
      </c>
      <c r="O6" t="inlineStr">
        <is>
          <t>Force 3</t>
        </is>
      </c>
      <c r="P6" t="inlineStr">
        <is>
          <t>Force</t>
        </is>
      </c>
      <c r="Q6" t="n">
        <v>3</v>
      </c>
      <c r="R6" t="inlineStr"/>
      <c r="S6" t="n">
        <v>0</v>
      </c>
      <c r="T6" t="inlineStr">
        <is>
          <t>Mobile</t>
        </is>
      </c>
      <c r="U6" t="inlineStr">
        <is>
          <t>Scouts, raiders and skirmishers.</t>
        </is>
      </c>
      <c r="W6" t="inlineStr">
        <is>
          <t>The Dvargir</t>
        </is>
      </c>
      <c r="X6" t="n">
        <v>5</v>
      </c>
      <c r="Y6" t="n">
        <v>2</v>
      </c>
      <c r="Z6" t="n">
        <v>4</v>
      </c>
      <c r="AA6" t="n">
        <v>1</v>
      </c>
      <c r="AB6" t="n">
        <v>7</v>
      </c>
      <c r="AC6" t="inlineStr">
        <is>
          <t>Comorragh</t>
        </is>
      </c>
      <c r="AE6" t="inlineStr">
        <is>
          <t>Piranesi</t>
        </is>
      </c>
      <c r="AF6" t="inlineStr">
        <is>
          <t>Largest Deep Janeen palace.</t>
        </is>
      </c>
    </row>
    <row r="7">
      <c r="A7" t="inlineStr">
        <is>
          <t>Heavy Infantry</t>
        </is>
      </c>
      <c r="B7" t="inlineStr">
        <is>
          <t>Force / Standard</t>
        </is>
      </c>
      <c r="C7" t="inlineStr">
        <is>
          <t>Force</t>
        </is>
      </c>
      <c r="D7" t="n">
        <v>6</v>
      </c>
      <c r="E7" t="n">
        <v>10</v>
      </c>
      <c r="F7" t="inlineStr">
        <is>
          <t>F vs F</t>
        </is>
      </c>
      <c r="G7" t="inlineStr">
        <is>
          <t>Force</t>
        </is>
      </c>
      <c r="H7" t="inlineStr">
        <is>
          <t>Force</t>
        </is>
      </c>
      <c r="I7" t="inlineStr">
        <is>
          <t>1d10</t>
        </is>
      </c>
      <c r="J7" t="n">
        <v>1</v>
      </c>
      <c r="K7" t="n">
        <v>10</v>
      </c>
      <c r="L7" t="inlineStr">
        <is>
          <t>1d8</t>
        </is>
      </c>
      <c r="M7" t="n">
        <v>1</v>
      </c>
      <c r="N7" t="n">
        <v>8</v>
      </c>
      <c r="O7" t="inlineStr">
        <is>
          <t>Force 3</t>
        </is>
      </c>
      <c r="P7" t="inlineStr">
        <is>
          <t>Force</t>
        </is>
      </c>
      <c r="Q7" t="n">
        <v>3</v>
      </c>
      <c r="R7" t="inlineStr"/>
      <c r="S7" t="n">
        <v>0</v>
      </c>
      <c r="T7" t="inlineStr">
        <is>
          <t>—</t>
        </is>
      </c>
      <c r="U7" t="inlineStr">
        <is>
          <t>Armoured close-order troops.</t>
        </is>
      </c>
      <c r="W7" t="inlineStr">
        <is>
          <t>The Gnonmen</t>
        </is>
      </c>
      <c r="X7" t="n">
        <v>3</v>
      </c>
      <c r="Y7" t="n">
        <v>3</v>
      </c>
      <c r="Z7" t="n">
        <v>2</v>
      </c>
      <c r="AA7" t="n">
        <v>2</v>
      </c>
      <c r="AB7" t="n">
        <v>4</v>
      </c>
      <c r="AC7" t="inlineStr">
        <is>
          <t>Heliotropolis</t>
        </is>
      </c>
      <c r="AE7" t="inlineStr">
        <is>
          <t>Fever City Underground</t>
        </is>
      </c>
      <c r="AF7" t="inlineStr">
        <is>
          <t>Held by the Cholerids (NPC faction — no faction sheet).</t>
        </is>
      </c>
    </row>
    <row r="8">
      <c r="A8" t="inlineStr">
        <is>
          <t>Border Fort</t>
        </is>
      </c>
      <c r="B8" t="inlineStr">
        <is>
          <t>Force / Standard</t>
        </is>
      </c>
      <c r="C8" t="inlineStr">
        <is>
          <t>Force</t>
        </is>
      </c>
      <c r="D8" t="n">
        <v>6</v>
      </c>
      <c r="E8" t="n">
        <v>20</v>
      </c>
      <c r="F8" t="inlineStr">
        <is>
          <t>—</t>
        </is>
      </c>
      <c r="G8" t="inlineStr"/>
      <c r="H8" t="inlineStr"/>
      <c r="I8" t="inlineStr">
        <is>
          <t>—</t>
        </is>
      </c>
      <c r="J8" t="n">
        <v>0</v>
      </c>
      <c r="K8" t="n">
        <v>0</v>
      </c>
      <c r="L8" t="inlineStr">
        <is>
          <t>1d6</t>
        </is>
      </c>
      <c r="M8" t="n">
        <v>1</v>
      </c>
      <c r="N8" t="n">
        <v>6</v>
      </c>
      <c r="O8" t="inlineStr">
        <is>
          <t>Force 3</t>
        </is>
      </c>
      <c r="P8" t="inlineStr">
        <is>
          <t>Force</t>
        </is>
      </c>
      <c r="Q8" t="n">
        <v>3</v>
      </c>
      <c r="R8" t="inlineStr"/>
      <c r="S8" t="n">
        <v>0</v>
      </c>
      <c r="T8" t="inlineStr">
        <is>
          <t>Action</t>
        </is>
      </c>
      <c r="U8" t="inlineStr">
        <is>
          <t>Defensive bulwark. Lets a single asset there ignore the first 1d4 damage per attack.</t>
        </is>
      </c>
      <c r="W8" t="inlineStr">
        <is>
          <t>The Substratals</t>
        </is>
      </c>
      <c r="X8" t="n">
        <v>6</v>
      </c>
      <c r="Y8" t="n">
        <v>1</v>
      </c>
      <c r="Z8" t="n">
        <v>1</v>
      </c>
      <c r="AA8" t="n">
        <v>5</v>
      </c>
      <c r="AB8" t="n">
        <v>3</v>
      </c>
      <c r="AC8" t="inlineStr">
        <is>
          <t>The Core</t>
        </is>
      </c>
      <c r="AE8" t="inlineStr">
        <is>
          <t>Genet</t>
        </is>
      </c>
      <c r="AF8" t="inlineStr">
        <is>
          <t>A Funginid core.</t>
        </is>
      </c>
    </row>
    <row r="9">
      <c r="A9" t="inlineStr">
        <is>
          <t>Cavalry</t>
        </is>
      </c>
      <c r="B9" t="inlineStr">
        <is>
          <t>Force / Standard</t>
        </is>
      </c>
      <c r="C9" t="inlineStr">
        <is>
          <t>Force</t>
        </is>
      </c>
      <c r="D9" t="n">
        <v>8</v>
      </c>
      <c r="E9" t="n">
        <v>12</v>
      </c>
      <c r="F9" t="inlineStr">
        <is>
          <t>F vs F</t>
        </is>
      </c>
      <c r="G9" t="inlineStr">
        <is>
          <t>Force</t>
        </is>
      </c>
      <c r="H9" t="inlineStr">
        <is>
          <t>Force</t>
        </is>
      </c>
      <c r="I9" t="inlineStr">
        <is>
          <t>1d10</t>
        </is>
      </c>
      <c r="J9" t="n">
        <v>1</v>
      </c>
      <c r="K9" t="n">
        <v>10</v>
      </c>
      <c r="L9" t="inlineStr">
        <is>
          <t>1d8</t>
        </is>
      </c>
      <c r="M9" t="n">
        <v>1</v>
      </c>
      <c r="N9" t="n">
        <v>8</v>
      </c>
      <c r="O9" t="inlineStr">
        <is>
          <t>Force 4</t>
        </is>
      </c>
      <c r="P9" t="inlineStr">
        <is>
          <t>Force</t>
        </is>
      </c>
      <c r="Q9" t="n">
        <v>4</v>
      </c>
      <c r="R9" t="inlineStr"/>
      <c r="S9" t="n">
        <v>0</v>
      </c>
      <c r="T9" t="inlineStr">
        <is>
          <t>Mobile</t>
        </is>
      </c>
      <c r="U9" t="inlineStr">
        <is>
          <t>Heavy horse; expensive, frightening.</t>
        </is>
      </c>
      <c r="W9" t="inlineStr">
        <is>
          <t>The Deep Janeen</t>
        </is>
      </c>
      <c r="X9" t="n">
        <v>4</v>
      </c>
      <c r="Y9" t="n">
        <v>4</v>
      </c>
      <c r="Z9" t="n">
        <v>5</v>
      </c>
      <c r="AA9" t="n">
        <v>6</v>
      </c>
      <c r="AB9" t="n">
        <v>10</v>
      </c>
      <c r="AC9" t="inlineStr">
        <is>
          <t>Piranesi</t>
        </is>
      </c>
      <c r="AE9" t="inlineStr">
        <is>
          <t>Gordiam</t>
        </is>
      </c>
      <c r="AF9" t="inlineStr">
        <is>
          <t>Knotsmen capital.</t>
        </is>
      </c>
    </row>
    <row r="10">
      <c r="A10" t="inlineStr">
        <is>
          <t>War Wagons</t>
        </is>
      </c>
      <c r="B10" t="inlineStr">
        <is>
          <t>Force / Standard</t>
        </is>
      </c>
      <c r="C10" t="inlineStr">
        <is>
          <t>Force</t>
        </is>
      </c>
      <c r="D10" t="n">
        <v>10</v>
      </c>
      <c r="E10" t="n">
        <v>14</v>
      </c>
      <c r="F10" t="inlineStr">
        <is>
          <t>F vs F</t>
        </is>
      </c>
      <c r="G10" t="inlineStr">
        <is>
          <t>Force</t>
        </is>
      </c>
      <c r="H10" t="inlineStr">
        <is>
          <t>Force</t>
        </is>
      </c>
      <c r="I10" t="inlineStr">
        <is>
          <t>2d6</t>
        </is>
      </c>
      <c r="J10" t="n">
        <v>2</v>
      </c>
      <c r="K10" t="n">
        <v>6</v>
      </c>
      <c r="L10" t="inlineStr">
        <is>
          <t>1d8</t>
        </is>
      </c>
      <c r="M10" t="n">
        <v>1</v>
      </c>
      <c r="N10" t="n">
        <v>8</v>
      </c>
      <c r="O10" t="inlineStr">
        <is>
          <t>Force 4</t>
        </is>
      </c>
      <c r="P10" t="inlineStr">
        <is>
          <t>Force</t>
        </is>
      </c>
      <c r="Q10" t="n">
        <v>4</v>
      </c>
      <c r="R10" t="inlineStr"/>
      <c r="S10" t="n">
        <v>0</v>
      </c>
      <c r="T10" t="inlineStr">
        <is>
          <t>Mobile</t>
        </is>
      </c>
      <c r="U10" t="inlineStr">
        <is>
          <t>Armoured rolling platforms; murderous on open ground.</t>
        </is>
      </c>
      <c r="W10" t="inlineStr">
        <is>
          <t>The Olm</t>
        </is>
      </c>
      <c r="X10" t="n">
        <v>3</v>
      </c>
      <c r="Y10" t="n">
        <v>3</v>
      </c>
      <c r="Z10" t="n">
        <v>1</v>
      </c>
      <c r="AA10" t="n">
        <v>2</v>
      </c>
      <c r="AB10" t="n">
        <v>3</v>
      </c>
      <c r="AC10" t="inlineStr">
        <is>
          <t>No fixed capital — wanders the drowned routes</t>
        </is>
      </c>
      <c r="AE10" t="inlineStr">
        <is>
          <t>The Core</t>
        </is>
      </c>
      <c r="AF10" t="inlineStr">
        <is>
          <t>Substratal heartland.</t>
        </is>
      </c>
    </row>
    <row r="11">
      <c r="A11" t="inlineStr">
        <is>
          <t>Battle Mages</t>
        </is>
      </c>
      <c r="B11" t="inlineStr">
        <is>
          <t>Force / Standard</t>
        </is>
      </c>
      <c r="C11" t="inlineStr">
        <is>
          <t>Force</t>
        </is>
      </c>
      <c r="D11" t="n">
        <v>10</v>
      </c>
      <c r="E11" t="n">
        <v>8</v>
      </c>
      <c r="F11" t="inlineStr">
        <is>
          <t>F vs F</t>
        </is>
      </c>
      <c r="G11" t="inlineStr">
        <is>
          <t>Force</t>
        </is>
      </c>
      <c r="H11" t="inlineStr">
        <is>
          <t>Force</t>
        </is>
      </c>
      <c r="I11" t="inlineStr">
        <is>
          <t>1d10</t>
        </is>
      </c>
      <c r="J11" t="n">
        <v>1</v>
      </c>
      <c r="K11" t="n">
        <v>10</v>
      </c>
      <c r="L11" t="inlineStr">
        <is>
          <t>1d6</t>
        </is>
      </c>
      <c r="M11" t="n">
        <v>1</v>
      </c>
      <c r="N11" t="n">
        <v>6</v>
      </c>
      <c r="O11" t="inlineStr">
        <is>
          <t>Force 3, Magic 1</t>
        </is>
      </c>
      <c r="P11" t="inlineStr">
        <is>
          <t>Force</t>
        </is>
      </c>
      <c r="Q11" t="n">
        <v>3</v>
      </c>
      <c r="R11" t="inlineStr">
        <is>
          <t>Magic</t>
        </is>
      </c>
      <c r="S11" t="n">
        <v>1</v>
      </c>
      <c r="T11" t="inlineStr">
        <is>
          <t>Special</t>
        </is>
      </c>
      <c r="U11" t="inlineStr">
        <is>
          <t>Wizards trained for war. Once per turn ignore the defender's Counter.</t>
        </is>
      </c>
      <c r="AE11" t="inlineStr">
        <is>
          <t>Heliotropolis</t>
        </is>
      </c>
      <c r="AF11" t="inlineStr">
        <is>
          <t>Gnonmen lantern-city.</t>
        </is>
      </c>
    </row>
    <row r="12">
      <c r="A12" t="inlineStr">
        <is>
          <t>Knights / Champions</t>
        </is>
      </c>
      <c r="B12" t="inlineStr">
        <is>
          <t>Force / Standard</t>
        </is>
      </c>
      <c r="C12" t="inlineStr">
        <is>
          <t>Force</t>
        </is>
      </c>
      <c r="D12" t="n">
        <v>12</v>
      </c>
      <c r="E12" t="n">
        <v>14</v>
      </c>
      <c r="F12" t="inlineStr">
        <is>
          <t>F vs F</t>
        </is>
      </c>
      <c r="G12" t="inlineStr">
        <is>
          <t>Force</t>
        </is>
      </c>
      <c r="H12" t="inlineStr">
        <is>
          <t>Force</t>
        </is>
      </c>
      <c r="I12" t="inlineStr">
        <is>
          <t>2d6</t>
        </is>
      </c>
      <c r="J12" t="n">
        <v>2</v>
      </c>
      <c r="K12" t="n">
        <v>6</v>
      </c>
      <c r="L12" t="inlineStr">
        <is>
          <t>1d10</t>
        </is>
      </c>
      <c r="M12" t="n">
        <v>1</v>
      </c>
      <c r="N12" t="n">
        <v>10</v>
      </c>
      <c r="O12" t="inlineStr">
        <is>
          <t>Force 5</t>
        </is>
      </c>
      <c r="P12" t="inlineStr">
        <is>
          <t>Force</t>
        </is>
      </c>
      <c r="Q12" t="n">
        <v>5</v>
      </c>
      <c r="R12" t="inlineStr"/>
      <c r="S12" t="n">
        <v>0</v>
      </c>
      <c r="T12" t="inlineStr">
        <is>
          <t>—</t>
        </is>
      </c>
      <c r="U12" t="inlineStr">
        <is>
          <t>Heroes and household warriors.</t>
        </is>
      </c>
    </row>
    <row r="13">
      <c r="A13" t="inlineStr">
        <is>
          <t>Citadel</t>
        </is>
      </c>
      <c r="B13" t="inlineStr">
        <is>
          <t>Force / Standard</t>
        </is>
      </c>
      <c r="C13" t="inlineStr">
        <is>
          <t>Force</t>
        </is>
      </c>
      <c r="D13" t="n">
        <v>12</v>
      </c>
      <c r="E13" t="n">
        <v>30</v>
      </c>
      <c r="F13" t="inlineStr">
        <is>
          <t>—</t>
        </is>
      </c>
      <c r="G13" t="inlineStr"/>
      <c r="H13" t="inlineStr"/>
      <c r="I13" t="inlineStr">
        <is>
          <t>—</t>
        </is>
      </c>
      <c r="J13" t="n">
        <v>0</v>
      </c>
      <c r="K13" t="n">
        <v>0</v>
      </c>
      <c r="L13" t="inlineStr">
        <is>
          <t>1d10</t>
        </is>
      </c>
      <c r="M13" t="n">
        <v>1</v>
      </c>
      <c r="N13" t="n">
        <v>10</v>
      </c>
      <c r="O13" t="inlineStr">
        <is>
          <t>Force 4</t>
        </is>
      </c>
      <c r="P13" t="inlineStr">
        <is>
          <t>Force</t>
        </is>
      </c>
      <c r="Q13" t="n">
        <v>4</v>
      </c>
      <c r="R13" t="inlineStr"/>
      <c r="S13" t="n">
        <v>0</v>
      </c>
      <c r="T13" t="inlineStr">
        <is>
          <t>Action</t>
        </is>
      </c>
      <c r="U13" t="inlineStr">
        <is>
          <t>Fortified stronghold. Reduces damage to any one asset sharing its location by 1d4.</t>
        </is>
      </c>
    </row>
    <row r="14">
      <c r="A14" t="inlineStr">
        <is>
          <t>Pretorian Guard</t>
        </is>
      </c>
      <c r="B14" t="inlineStr">
        <is>
          <t>Force / Standard</t>
        </is>
      </c>
      <c r="C14" t="inlineStr">
        <is>
          <t>Force</t>
        </is>
      </c>
      <c r="D14" t="n">
        <v>16</v>
      </c>
      <c r="E14" t="n">
        <v>18</v>
      </c>
      <c r="F14" t="inlineStr">
        <is>
          <t>F vs F</t>
        </is>
      </c>
      <c r="G14" t="inlineStr">
        <is>
          <t>Force</t>
        </is>
      </c>
      <c r="H14" t="inlineStr">
        <is>
          <t>Force</t>
        </is>
      </c>
      <c r="I14" t="inlineStr">
        <is>
          <t>2d8</t>
        </is>
      </c>
      <c r="J14" t="n">
        <v>2</v>
      </c>
      <c r="K14" t="n">
        <v>8</v>
      </c>
      <c r="L14" t="inlineStr">
        <is>
          <t>2d6</t>
        </is>
      </c>
      <c r="M14" t="n">
        <v>2</v>
      </c>
      <c r="N14" t="n">
        <v>6</v>
      </c>
      <c r="O14" t="inlineStr">
        <is>
          <t>Force 6</t>
        </is>
      </c>
      <c r="P14" t="inlineStr">
        <is>
          <t>Force</t>
        </is>
      </c>
      <c r="Q14" t="n">
        <v>6</v>
      </c>
      <c r="R14" t="inlineStr"/>
      <c r="S14" t="n">
        <v>0</v>
      </c>
      <c r="T14" t="inlineStr">
        <is>
          <t>—</t>
        </is>
      </c>
      <c r="U14" t="inlineStr">
        <is>
          <t>Elite lifeguards and shock troops.</t>
        </is>
      </c>
    </row>
    <row r="15">
      <c r="A15" t="inlineStr">
        <is>
          <t>Armoury</t>
        </is>
      </c>
      <c r="B15" t="inlineStr">
        <is>
          <t>Force / Standard</t>
        </is>
      </c>
      <c r="C15" t="inlineStr">
        <is>
          <t>Force</t>
        </is>
      </c>
      <c r="D15" t="n">
        <v>4</v>
      </c>
      <c r="E15" t="n">
        <v>6</v>
      </c>
      <c r="F15" t="inlineStr">
        <is>
          <t>—</t>
        </is>
      </c>
      <c r="G15" t="inlineStr"/>
      <c r="H15" t="inlineStr"/>
      <c r="I15" t="inlineStr">
        <is>
          <t>—</t>
        </is>
      </c>
      <c r="J15" t="n">
        <v>0</v>
      </c>
      <c r="K15" t="n">
        <v>0</v>
      </c>
      <c r="L15" t="inlineStr">
        <is>
          <t>—</t>
        </is>
      </c>
      <c r="M15" t="n">
        <v>0</v>
      </c>
      <c r="N15" t="n">
        <v>0</v>
      </c>
      <c r="O15" t="inlineStr">
        <is>
          <t>Force 2</t>
        </is>
      </c>
      <c r="P15" t="inlineStr">
        <is>
          <t>Force</t>
        </is>
      </c>
      <c r="Q15" t="n">
        <v>2</v>
      </c>
      <c r="R15" t="inlineStr"/>
      <c r="S15" t="n">
        <v>0</v>
      </c>
      <c r="T15" t="inlineStr">
        <is>
          <t>Special</t>
        </is>
      </c>
      <c r="U15" t="inlineStr">
        <is>
          <t>Reduces cost of new Force assets created at this location by 1 (min 1).</t>
        </is>
      </c>
    </row>
    <row r="16">
      <c r="A16" t="inlineStr">
        <is>
          <t>Conscription Office</t>
        </is>
      </c>
      <c r="B16" t="inlineStr">
        <is>
          <t>Force / Standard</t>
        </is>
      </c>
      <c r="C16" t="inlineStr">
        <is>
          <t>Force</t>
        </is>
      </c>
      <c r="D16" t="n">
        <v>4</v>
      </c>
      <c r="E16" t="n">
        <v>6</v>
      </c>
      <c r="F16" t="inlineStr">
        <is>
          <t>—</t>
        </is>
      </c>
      <c r="G16" t="inlineStr"/>
      <c r="H16" t="inlineStr"/>
      <c r="I16" t="inlineStr">
        <is>
          <t>—</t>
        </is>
      </c>
      <c r="J16" t="n">
        <v>0</v>
      </c>
      <c r="K16" t="n">
        <v>0</v>
      </c>
      <c r="L16" t="inlineStr">
        <is>
          <t>—</t>
        </is>
      </c>
      <c r="M16" t="n">
        <v>0</v>
      </c>
      <c r="N16" t="n">
        <v>0</v>
      </c>
      <c r="O16" t="inlineStr">
        <is>
          <t>Force 2</t>
        </is>
      </c>
      <c r="P16" t="inlineStr">
        <is>
          <t>Force</t>
        </is>
      </c>
      <c r="Q16" t="n">
        <v>2</v>
      </c>
      <c r="R16" t="inlineStr"/>
      <c r="S16" t="n">
        <v>0</v>
      </c>
      <c r="T16" t="inlineStr">
        <is>
          <t>Special</t>
        </is>
      </c>
      <c r="U16" t="inlineStr">
        <is>
          <t>Once per turn produce a free Militia asset in this location.</t>
        </is>
      </c>
    </row>
    <row r="17">
      <c r="A17" t="inlineStr">
        <is>
          <t>Informers</t>
        </is>
      </c>
      <c r="B17" t="inlineStr">
        <is>
          <t>Cunning / Standard</t>
        </is>
      </c>
      <c r="C17" t="inlineStr">
        <is>
          <t>Cunning</t>
        </is>
      </c>
      <c r="D17" t="n">
        <v>1</v>
      </c>
      <c r="E17" t="n">
        <v>3</v>
      </c>
      <c r="F17" t="inlineStr">
        <is>
          <t>C vs C</t>
        </is>
      </c>
      <c r="G17" t="inlineStr">
        <is>
          <t>Cunning</t>
        </is>
      </c>
      <c r="H17" t="inlineStr">
        <is>
          <t>Cunning</t>
        </is>
      </c>
      <c r="I17" t="inlineStr">
        <is>
          <t>1d4</t>
        </is>
      </c>
      <c r="J17" t="n">
        <v>1</v>
      </c>
      <c r="K17" t="n">
        <v>4</v>
      </c>
      <c r="L17" t="inlineStr">
        <is>
          <t>—</t>
        </is>
      </c>
      <c r="M17" t="n">
        <v>0</v>
      </c>
      <c r="N17" t="n">
        <v>0</v>
      </c>
      <c r="O17" t="inlineStr">
        <is>
          <t>Cunning 1</t>
        </is>
      </c>
      <c r="P17" t="inlineStr">
        <is>
          <t>Cunning</t>
        </is>
      </c>
      <c r="Q17" t="n">
        <v>1</v>
      </c>
      <c r="R17" t="inlineStr"/>
      <c r="S17" t="n">
        <v>0</v>
      </c>
      <c r="T17" t="inlineStr">
        <is>
          <t>Stealthed, Special</t>
        </is>
      </c>
      <c r="U17" t="inlineStr">
        <is>
          <t>Provide warning of incoming attacks; on a Cunning check, attacker reveals itself.</t>
        </is>
      </c>
    </row>
    <row r="18">
      <c r="A18" t="inlineStr">
        <is>
          <t>Smugglers</t>
        </is>
      </c>
      <c r="B18" t="inlineStr">
        <is>
          <t>Cunning / Standard</t>
        </is>
      </c>
      <c r="C18" t="inlineStr">
        <is>
          <t>Cunning</t>
        </is>
      </c>
      <c r="D18" t="n">
        <v>2</v>
      </c>
      <c r="E18" t="n">
        <v>4</v>
      </c>
      <c r="F18" t="inlineStr">
        <is>
          <t>C vs W</t>
        </is>
      </c>
      <c r="G18" t="inlineStr">
        <is>
          <t>Cunning</t>
        </is>
      </c>
      <c r="H18" t="inlineStr">
        <is>
          <t>Wealth</t>
        </is>
      </c>
      <c r="I18" t="inlineStr">
        <is>
          <t>1d6</t>
        </is>
      </c>
      <c r="J18" t="n">
        <v>1</v>
      </c>
      <c r="K18" t="n">
        <v>6</v>
      </c>
      <c r="L18" t="inlineStr">
        <is>
          <t>—</t>
        </is>
      </c>
      <c r="M18" t="n">
        <v>0</v>
      </c>
      <c r="N18" t="n">
        <v>0</v>
      </c>
      <c r="O18" t="inlineStr">
        <is>
          <t>Cunning 1</t>
        </is>
      </c>
      <c r="P18" t="inlineStr">
        <is>
          <t>Cunning</t>
        </is>
      </c>
      <c r="Q18" t="n">
        <v>1</v>
      </c>
      <c r="R18" t="inlineStr"/>
      <c r="S18" t="n">
        <v>0</v>
      </c>
      <c r="T18" t="inlineStr">
        <is>
          <t>Stealthed, Mobile</t>
        </is>
      </c>
      <c r="U18" t="inlineStr">
        <is>
          <t>Move goods or assets across borders cheaply; halves Move costs.</t>
        </is>
      </c>
    </row>
    <row r="19">
      <c r="A19" t="inlineStr">
        <is>
          <t>Brigand Cell</t>
        </is>
      </c>
      <c r="B19" t="inlineStr">
        <is>
          <t>Cunning / Standard</t>
        </is>
      </c>
      <c r="C19" t="inlineStr">
        <is>
          <t>Cunning</t>
        </is>
      </c>
      <c r="D19" t="n">
        <v>2</v>
      </c>
      <c r="E19" t="n">
        <v>6</v>
      </c>
      <c r="F19" t="inlineStr">
        <is>
          <t>C vs F</t>
        </is>
      </c>
      <c r="G19" t="inlineStr">
        <is>
          <t>Cunning</t>
        </is>
      </c>
      <c r="H19" t="inlineStr">
        <is>
          <t>Force</t>
        </is>
      </c>
      <c r="I19" t="inlineStr">
        <is>
          <t>1d6</t>
        </is>
      </c>
      <c r="J19" t="n">
        <v>1</v>
      </c>
      <c r="K19" t="n">
        <v>6</v>
      </c>
      <c r="L19" t="inlineStr">
        <is>
          <t>1d4</t>
        </is>
      </c>
      <c r="M19" t="n">
        <v>1</v>
      </c>
      <c r="N19" t="n">
        <v>4</v>
      </c>
      <c r="O19" t="inlineStr">
        <is>
          <t>Cunning 1</t>
        </is>
      </c>
      <c r="P19" t="inlineStr">
        <is>
          <t>Cunning</t>
        </is>
      </c>
      <c r="Q19" t="n">
        <v>1</v>
      </c>
      <c r="R19" t="inlineStr"/>
      <c r="S19" t="n">
        <v>0</v>
      </c>
      <c r="T19" t="inlineStr">
        <is>
          <t>Mobile</t>
        </is>
      </c>
      <c r="U19" t="inlineStr">
        <is>
          <t>Highwaymen and racketeers.</t>
        </is>
      </c>
    </row>
    <row r="20">
      <c r="A20" t="inlineStr">
        <is>
          <t>Spies</t>
        </is>
      </c>
      <c r="B20" t="inlineStr">
        <is>
          <t>Cunning / Standard</t>
        </is>
      </c>
      <c r="C20" t="inlineStr">
        <is>
          <t>Cunning</t>
        </is>
      </c>
      <c r="D20" t="n">
        <v>4</v>
      </c>
      <c r="E20" t="n">
        <v>4</v>
      </c>
      <c r="F20" t="inlineStr">
        <is>
          <t>C vs C</t>
        </is>
      </c>
      <c r="G20" t="inlineStr">
        <is>
          <t>Cunning</t>
        </is>
      </c>
      <c r="H20" t="inlineStr">
        <is>
          <t>Cunning</t>
        </is>
      </c>
      <c r="I20" t="inlineStr">
        <is>
          <t>1d6</t>
        </is>
      </c>
      <c r="J20" t="n">
        <v>1</v>
      </c>
      <c r="K20" t="n">
        <v>6</v>
      </c>
      <c r="L20" t="inlineStr">
        <is>
          <t>—</t>
        </is>
      </c>
      <c r="M20" t="n">
        <v>0</v>
      </c>
      <c r="N20" t="n">
        <v>0</v>
      </c>
      <c r="O20" t="inlineStr">
        <is>
          <t>Cunning 2</t>
        </is>
      </c>
      <c r="P20" t="inlineStr">
        <is>
          <t>Cunning</t>
        </is>
      </c>
      <c r="Q20" t="n">
        <v>2</v>
      </c>
      <c r="R20" t="inlineStr"/>
      <c r="S20" t="n">
        <v>0</v>
      </c>
      <c r="T20" t="inlineStr">
        <is>
          <t>Stealthed, Subtle</t>
        </is>
      </c>
      <c r="U20" t="inlineStr">
        <is>
          <t>Once per turn learn one fact about a rival's hidden assets or income.</t>
        </is>
      </c>
    </row>
    <row r="21">
      <c r="A21" t="inlineStr">
        <is>
          <t>Saboteurs</t>
        </is>
      </c>
      <c r="B21" t="inlineStr">
        <is>
          <t>Cunning / Standard</t>
        </is>
      </c>
      <c r="C21" t="inlineStr">
        <is>
          <t>Cunning</t>
        </is>
      </c>
      <c r="D21" t="n">
        <v>4</v>
      </c>
      <c r="E21" t="n">
        <v>6</v>
      </c>
      <c r="F21" t="inlineStr">
        <is>
          <t>C vs W</t>
        </is>
      </c>
      <c r="G21" t="inlineStr">
        <is>
          <t>Cunning</t>
        </is>
      </c>
      <c r="H21" t="inlineStr">
        <is>
          <t>Wealth</t>
        </is>
      </c>
      <c r="I21" t="inlineStr">
        <is>
          <t>2d4</t>
        </is>
      </c>
      <c r="J21" t="n">
        <v>2</v>
      </c>
      <c r="K21" t="n">
        <v>4</v>
      </c>
      <c r="L21" t="inlineStr">
        <is>
          <t>—</t>
        </is>
      </c>
      <c r="M21" t="n">
        <v>0</v>
      </c>
      <c r="N21" t="n">
        <v>0</v>
      </c>
      <c r="O21" t="inlineStr">
        <is>
          <t>Cunning 2</t>
        </is>
      </c>
      <c r="P21" t="inlineStr">
        <is>
          <t>Cunning</t>
        </is>
      </c>
      <c r="Q21" t="n">
        <v>2</v>
      </c>
      <c r="R21" t="inlineStr"/>
      <c r="S21" t="n">
        <v>0</v>
      </c>
      <c r="T21" t="inlineStr">
        <is>
          <t>Subtle</t>
        </is>
      </c>
      <c r="U21" t="inlineStr">
        <is>
          <t>Hit infrastructure rather than soldiers.</t>
        </is>
      </c>
    </row>
    <row r="22">
      <c r="A22" t="inlineStr">
        <is>
          <t>Whisper Network</t>
        </is>
      </c>
      <c r="B22" t="inlineStr">
        <is>
          <t>Cunning / Standard</t>
        </is>
      </c>
      <c r="C22" t="inlineStr">
        <is>
          <t>Cunning</t>
        </is>
      </c>
      <c r="D22" t="n">
        <v>4</v>
      </c>
      <c r="E22" t="n">
        <v>6</v>
      </c>
      <c r="F22" t="inlineStr">
        <is>
          <t>C vs C</t>
        </is>
      </c>
      <c r="G22" t="inlineStr">
        <is>
          <t>Cunning</t>
        </is>
      </c>
      <c r="H22" t="inlineStr">
        <is>
          <t>Cunning</t>
        </is>
      </c>
      <c r="I22" t="inlineStr">
        <is>
          <t>1d6</t>
        </is>
      </c>
      <c r="J22" t="n">
        <v>1</v>
      </c>
      <c r="K22" t="n">
        <v>6</v>
      </c>
      <c r="L22" t="inlineStr">
        <is>
          <t>1d4</t>
        </is>
      </c>
      <c r="M22" t="n">
        <v>1</v>
      </c>
      <c r="N22" t="n">
        <v>4</v>
      </c>
      <c r="O22" t="inlineStr">
        <is>
          <t>Cunning 2</t>
        </is>
      </c>
      <c r="P22" t="inlineStr">
        <is>
          <t>Cunning</t>
        </is>
      </c>
      <c r="Q22" t="n">
        <v>2</v>
      </c>
      <c r="R22" t="inlineStr"/>
      <c r="S22" t="n">
        <v>0</v>
      </c>
      <c r="T22" t="inlineStr">
        <is>
          <t>Subtle</t>
        </is>
      </c>
      <c r="U22" t="inlineStr">
        <is>
          <t>Coordinates rumours; increases the DC of rival Expand Influence rolls by 1 in shared locations.</t>
        </is>
      </c>
    </row>
    <row r="23">
      <c r="A23" t="inlineStr">
        <is>
          <t>Thieves' Guild</t>
        </is>
      </c>
      <c r="B23" t="inlineStr">
        <is>
          <t>Cunning / Standard</t>
        </is>
      </c>
      <c r="C23" t="inlineStr">
        <is>
          <t>Cunning</t>
        </is>
      </c>
      <c r="D23" t="n">
        <v>4</v>
      </c>
      <c r="E23" t="n">
        <v>8</v>
      </c>
      <c r="F23" t="inlineStr">
        <is>
          <t>C vs W</t>
        </is>
      </c>
      <c r="G23" t="inlineStr">
        <is>
          <t>Cunning</t>
        </is>
      </c>
      <c r="H23" t="inlineStr">
        <is>
          <t>Wealth</t>
        </is>
      </c>
      <c r="I23" t="inlineStr">
        <is>
          <t>1d8</t>
        </is>
      </c>
      <c r="J23" t="n">
        <v>1</v>
      </c>
      <c r="K23" t="n">
        <v>8</v>
      </c>
      <c r="L23" t="inlineStr">
        <is>
          <t>1d6</t>
        </is>
      </c>
      <c r="M23" t="n">
        <v>1</v>
      </c>
      <c r="N23" t="n">
        <v>6</v>
      </c>
      <c r="O23" t="inlineStr">
        <is>
          <t>Cunning 3</t>
        </is>
      </c>
      <c r="P23" t="inlineStr">
        <is>
          <t>Cunning</t>
        </is>
      </c>
      <c r="Q23" t="n">
        <v>3</v>
      </c>
      <c r="R23" t="inlineStr"/>
      <c r="S23" t="n">
        <v>0</v>
      </c>
      <c r="T23" t="inlineStr">
        <is>
          <t>—</t>
        </is>
      </c>
      <c r="U23" t="inlineStr">
        <is>
          <t>Organised crime. Generates 1 Treasure every other turn (5+ on 1d6).</t>
        </is>
      </c>
    </row>
    <row r="24">
      <c r="A24" t="inlineStr">
        <is>
          <t>Bribed Officials</t>
        </is>
      </c>
      <c r="B24" t="inlineStr">
        <is>
          <t>Cunning / Standard</t>
        </is>
      </c>
      <c r="C24" t="inlineStr">
        <is>
          <t>Cunning</t>
        </is>
      </c>
      <c r="D24" t="n">
        <v>6</v>
      </c>
      <c r="E24" t="n">
        <v>8</v>
      </c>
      <c r="F24" t="inlineStr">
        <is>
          <t>C vs C</t>
        </is>
      </c>
      <c r="G24" t="inlineStr">
        <is>
          <t>Cunning</t>
        </is>
      </c>
      <c r="H24" t="inlineStr">
        <is>
          <t>Cunning</t>
        </is>
      </c>
      <c r="I24" t="inlineStr">
        <is>
          <t>1d6</t>
        </is>
      </c>
      <c r="J24" t="n">
        <v>1</v>
      </c>
      <c r="K24" t="n">
        <v>6</v>
      </c>
      <c r="L24" t="inlineStr">
        <is>
          <t>—</t>
        </is>
      </c>
      <c r="M24" t="n">
        <v>0</v>
      </c>
      <c r="N24" t="n">
        <v>0</v>
      </c>
      <c r="O24" t="inlineStr">
        <is>
          <t>Cunning 3</t>
        </is>
      </c>
      <c r="P24" t="inlineStr">
        <is>
          <t>Cunning</t>
        </is>
      </c>
      <c r="Q24" t="n">
        <v>3</v>
      </c>
      <c r="R24" t="inlineStr"/>
      <c r="S24" t="n">
        <v>0</v>
      </c>
      <c r="T24" t="inlineStr">
        <is>
          <t>Subtle, Special</t>
        </is>
      </c>
      <c r="U24" t="inlineStr">
        <is>
          <t>Allow one extra Move action per turn at no Treasure cost.</t>
        </is>
      </c>
    </row>
    <row r="25">
      <c r="A25" t="inlineStr">
        <is>
          <t>Assassins</t>
        </is>
      </c>
      <c r="B25" t="inlineStr">
        <is>
          <t>Cunning / Standard</t>
        </is>
      </c>
      <c r="C25" t="inlineStr">
        <is>
          <t>Cunning</t>
        </is>
      </c>
      <c r="D25" t="n">
        <v>6</v>
      </c>
      <c r="E25" t="n">
        <v>6</v>
      </c>
      <c r="F25" t="inlineStr">
        <is>
          <t>C vs F</t>
        </is>
      </c>
      <c r="G25" t="inlineStr">
        <is>
          <t>Cunning</t>
        </is>
      </c>
      <c r="H25" t="inlineStr">
        <is>
          <t>Force</t>
        </is>
      </c>
      <c r="I25" t="inlineStr">
        <is>
          <t>1d10</t>
        </is>
      </c>
      <c r="J25" t="n">
        <v>1</v>
      </c>
      <c r="K25" t="n">
        <v>10</v>
      </c>
      <c r="L25" t="inlineStr">
        <is>
          <t>—</t>
        </is>
      </c>
      <c r="M25" t="n">
        <v>0</v>
      </c>
      <c r="N25" t="n">
        <v>0</v>
      </c>
      <c r="O25" t="inlineStr">
        <is>
          <t>Cunning 3</t>
        </is>
      </c>
      <c r="P25" t="inlineStr">
        <is>
          <t>Cunning</t>
        </is>
      </c>
      <c r="Q25" t="n">
        <v>3</v>
      </c>
      <c r="R25" t="inlineStr"/>
      <c r="S25" t="n">
        <v>0</v>
      </c>
      <c r="T25" t="inlineStr">
        <is>
          <t>Stealthed, Action</t>
        </is>
      </c>
      <c r="U25" t="inlineStr">
        <is>
          <t>Strike vulnerable leaders. Double damage vs HP-4-or-less assets.</t>
        </is>
      </c>
    </row>
    <row r="26">
      <c r="A26" t="inlineStr">
        <is>
          <t>Cult Network</t>
        </is>
      </c>
      <c r="B26" t="inlineStr">
        <is>
          <t>Cunning / Standard</t>
        </is>
      </c>
      <c r="C26" t="inlineStr">
        <is>
          <t>Cunning</t>
        </is>
      </c>
      <c r="D26" t="n">
        <v>8</v>
      </c>
      <c r="E26" t="n">
        <v>10</v>
      </c>
      <c r="F26" t="inlineStr">
        <is>
          <t>C vs C</t>
        </is>
      </c>
      <c r="G26" t="inlineStr">
        <is>
          <t>Cunning</t>
        </is>
      </c>
      <c r="H26" t="inlineStr">
        <is>
          <t>Cunning</t>
        </is>
      </c>
      <c r="I26" t="inlineStr">
        <is>
          <t>1d10</t>
        </is>
      </c>
      <c r="J26" t="n">
        <v>1</v>
      </c>
      <c r="K26" t="n">
        <v>10</v>
      </c>
      <c r="L26" t="inlineStr">
        <is>
          <t>—</t>
        </is>
      </c>
      <c r="M26" t="n">
        <v>0</v>
      </c>
      <c r="N26" t="n">
        <v>0</v>
      </c>
      <c r="O26" t="inlineStr">
        <is>
          <t>Cunning 4</t>
        </is>
      </c>
      <c r="P26" t="inlineStr">
        <is>
          <t>Cunning</t>
        </is>
      </c>
      <c r="Q26" t="n">
        <v>4</v>
      </c>
      <c r="R26" t="inlineStr"/>
      <c r="S26" t="n">
        <v>0</v>
      </c>
      <c r="T26" t="inlineStr">
        <is>
          <t>Subtle, Special</t>
        </is>
      </c>
      <c r="U26" t="inlineStr">
        <is>
          <t>Once per turn, attempt to convert a 1-cost rival asset to your side (Cunning check).</t>
        </is>
      </c>
    </row>
    <row r="27">
      <c r="A27" t="inlineStr">
        <is>
          <t>Eyes Everywhere</t>
        </is>
      </c>
      <c r="B27" t="inlineStr">
        <is>
          <t>Cunning / Standard</t>
        </is>
      </c>
      <c r="C27" t="inlineStr">
        <is>
          <t>Cunning</t>
        </is>
      </c>
      <c r="D27" t="n">
        <v>8</v>
      </c>
      <c r="E27" t="n">
        <v>10</v>
      </c>
      <c r="F27" t="inlineStr">
        <is>
          <t>C vs C</t>
        </is>
      </c>
      <c r="G27" t="inlineStr">
        <is>
          <t>Cunning</t>
        </is>
      </c>
      <c r="H27" t="inlineStr">
        <is>
          <t>Cunning</t>
        </is>
      </c>
      <c r="I27" t="inlineStr">
        <is>
          <t>1d8</t>
        </is>
      </c>
      <c r="J27" t="n">
        <v>1</v>
      </c>
      <c r="K27" t="n">
        <v>8</v>
      </c>
      <c r="L27" t="inlineStr">
        <is>
          <t>1d4</t>
        </is>
      </c>
      <c r="M27" t="n">
        <v>1</v>
      </c>
      <c r="N27" t="n">
        <v>4</v>
      </c>
      <c r="O27" t="inlineStr">
        <is>
          <t>Cunning 4</t>
        </is>
      </c>
      <c r="P27" t="inlineStr">
        <is>
          <t>Cunning</t>
        </is>
      </c>
      <c r="Q27" t="n">
        <v>4</v>
      </c>
      <c r="R27" t="inlineStr"/>
      <c r="S27" t="n">
        <v>0</v>
      </c>
      <c r="T27" t="inlineStr">
        <is>
          <t>Stealthed</t>
        </is>
      </c>
      <c r="U27" t="inlineStr">
        <is>
          <t>Reveal any one Stealthed rival asset in the same location once per turn.</t>
        </is>
      </c>
    </row>
    <row r="28">
      <c r="A28" t="inlineStr">
        <is>
          <t>Seductive Cabal</t>
        </is>
      </c>
      <c r="B28" t="inlineStr">
        <is>
          <t>Cunning / Standard</t>
        </is>
      </c>
      <c r="C28" t="inlineStr">
        <is>
          <t>Cunning</t>
        </is>
      </c>
      <c r="D28" t="n">
        <v>10</v>
      </c>
      <c r="E28" t="n">
        <v>10</v>
      </c>
      <c r="F28" t="inlineStr">
        <is>
          <t>C vs C</t>
        </is>
      </c>
      <c r="G28" t="inlineStr">
        <is>
          <t>Cunning</t>
        </is>
      </c>
      <c r="H28" t="inlineStr">
        <is>
          <t>Cunning</t>
        </is>
      </c>
      <c r="I28" t="inlineStr">
        <is>
          <t>1d10</t>
        </is>
      </c>
      <c r="J28" t="n">
        <v>1</v>
      </c>
      <c r="K28" t="n">
        <v>10</v>
      </c>
      <c r="L28" t="inlineStr">
        <is>
          <t>—</t>
        </is>
      </c>
      <c r="M28" t="n">
        <v>0</v>
      </c>
      <c r="N28" t="n">
        <v>0</v>
      </c>
      <c r="O28" t="inlineStr">
        <is>
          <t>Cunning 5</t>
        </is>
      </c>
      <c r="P28" t="inlineStr">
        <is>
          <t>Cunning</t>
        </is>
      </c>
      <c r="Q28" t="n">
        <v>5</v>
      </c>
      <c r="R28" t="inlineStr"/>
      <c r="S28" t="n">
        <v>0</v>
      </c>
      <c r="T28" t="inlineStr">
        <is>
          <t>Subtle</t>
        </is>
      </c>
      <c r="U28" t="inlineStr">
        <is>
          <t>Charm and blackmail. Reduces a rival faction's Cunning by 1 while present.</t>
        </is>
      </c>
    </row>
    <row r="29">
      <c r="A29" t="inlineStr">
        <is>
          <t>Plain-Clothes Enforcers</t>
        </is>
      </c>
      <c r="B29" t="inlineStr">
        <is>
          <t>Cunning / Standard</t>
        </is>
      </c>
      <c r="C29" t="inlineStr">
        <is>
          <t>Cunning</t>
        </is>
      </c>
      <c r="D29" t="n">
        <v>6</v>
      </c>
      <c r="E29" t="n">
        <v>8</v>
      </c>
      <c r="F29" t="inlineStr">
        <is>
          <t>C vs F</t>
        </is>
      </c>
      <c r="G29" t="inlineStr">
        <is>
          <t>Cunning</t>
        </is>
      </c>
      <c r="H29" t="inlineStr">
        <is>
          <t>Force</t>
        </is>
      </c>
      <c r="I29" t="inlineStr">
        <is>
          <t>1d8</t>
        </is>
      </c>
      <c r="J29" t="n">
        <v>1</v>
      </c>
      <c r="K29" t="n">
        <v>8</v>
      </c>
      <c r="L29" t="inlineStr">
        <is>
          <t>1d6</t>
        </is>
      </c>
      <c r="M29" t="n">
        <v>1</v>
      </c>
      <c r="N29" t="n">
        <v>6</v>
      </c>
      <c r="O29" t="inlineStr">
        <is>
          <t>Cunning 3</t>
        </is>
      </c>
      <c r="P29" t="inlineStr">
        <is>
          <t>Cunning</t>
        </is>
      </c>
      <c r="Q29" t="n">
        <v>3</v>
      </c>
      <c r="R29" t="inlineStr"/>
      <c r="S29" t="n">
        <v>0</v>
      </c>
      <c r="T29" t="inlineStr">
        <is>
          <t>—</t>
        </is>
      </c>
      <c r="U29" t="inlineStr">
        <is>
          <t>Secret police. Strong against Stealthed assets.</t>
        </is>
      </c>
    </row>
    <row r="30">
      <c r="A30" t="inlineStr">
        <is>
          <t>Farmers</t>
        </is>
      </c>
      <c r="B30" t="inlineStr">
        <is>
          <t>Wealth / Standard</t>
        </is>
      </c>
      <c r="C30" t="inlineStr">
        <is>
          <t>Wealth</t>
        </is>
      </c>
      <c r="D30" t="n">
        <v>1</v>
      </c>
      <c r="E30" t="n">
        <v>4</v>
      </c>
      <c r="F30" t="inlineStr">
        <is>
          <t>W vs W</t>
        </is>
      </c>
      <c r="G30" t="inlineStr">
        <is>
          <t>Wealth</t>
        </is>
      </c>
      <c r="H30" t="inlineStr">
        <is>
          <t>Wealth</t>
        </is>
      </c>
      <c r="I30" t="inlineStr">
        <is>
          <t>1d4</t>
        </is>
      </c>
      <c r="J30" t="n">
        <v>1</v>
      </c>
      <c r="K30" t="n">
        <v>4</v>
      </c>
      <c r="L30" t="inlineStr">
        <is>
          <t>1d4</t>
        </is>
      </c>
      <c r="M30" t="n">
        <v>1</v>
      </c>
      <c r="N30" t="n">
        <v>4</v>
      </c>
      <c r="O30" t="inlineStr">
        <is>
          <t>Wealth 1</t>
        </is>
      </c>
      <c r="P30" t="inlineStr">
        <is>
          <t>Wealth</t>
        </is>
      </c>
      <c r="Q30" t="n">
        <v>1</v>
      </c>
      <c r="R30" t="inlineStr"/>
      <c r="S30" t="n">
        <v>0</v>
      </c>
      <c r="T30" t="inlineStr">
        <is>
          <t>Special</t>
        </is>
      </c>
      <c r="U30" t="inlineStr">
        <is>
          <t>On 5+ on 1d6 at start of turn, gain 1 Treasure.</t>
        </is>
      </c>
    </row>
    <row r="31">
      <c r="A31" t="inlineStr">
        <is>
          <t>Pedlars</t>
        </is>
      </c>
      <c r="B31" t="inlineStr">
        <is>
          <t>Wealth / Standard</t>
        </is>
      </c>
      <c r="C31" t="inlineStr">
        <is>
          <t>Wealth</t>
        </is>
      </c>
      <c r="D31" t="n">
        <v>1</v>
      </c>
      <c r="E31" t="n">
        <v>4</v>
      </c>
      <c r="F31" t="inlineStr">
        <is>
          <t>W vs W</t>
        </is>
      </c>
      <c r="G31" t="inlineStr">
        <is>
          <t>Wealth</t>
        </is>
      </c>
      <c r="H31" t="inlineStr">
        <is>
          <t>Wealth</t>
        </is>
      </c>
      <c r="I31" t="inlineStr">
        <is>
          <t>1d4</t>
        </is>
      </c>
      <c r="J31" t="n">
        <v>1</v>
      </c>
      <c r="K31" t="n">
        <v>4</v>
      </c>
      <c r="L31" t="inlineStr">
        <is>
          <t>—</t>
        </is>
      </c>
      <c r="M31" t="n">
        <v>0</v>
      </c>
      <c r="N31" t="n">
        <v>0</v>
      </c>
      <c r="O31" t="inlineStr">
        <is>
          <t>Wealth 1</t>
        </is>
      </c>
      <c r="P31" t="inlineStr">
        <is>
          <t>Wealth</t>
        </is>
      </c>
      <c r="Q31" t="n">
        <v>1</v>
      </c>
      <c r="R31" t="inlineStr"/>
      <c r="S31" t="n">
        <v>0</v>
      </c>
      <c r="T31" t="inlineStr">
        <is>
          <t>Mobile</t>
        </is>
      </c>
      <c r="U31" t="inlineStr">
        <is>
          <t>Travelling traders; can move freely each turn.</t>
        </is>
      </c>
    </row>
    <row r="32">
      <c r="A32" t="inlineStr">
        <is>
          <t>Smiths</t>
        </is>
      </c>
      <c r="B32" t="inlineStr">
        <is>
          <t>Wealth / Standard</t>
        </is>
      </c>
      <c r="C32" t="inlineStr">
        <is>
          <t>Wealth</t>
        </is>
      </c>
      <c r="D32" t="n">
        <v>2</v>
      </c>
      <c r="E32" t="n">
        <v>6</v>
      </c>
      <c r="F32" t="inlineStr">
        <is>
          <t>W vs F</t>
        </is>
      </c>
      <c r="G32" t="inlineStr">
        <is>
          <t>Wealth</t>
        </is>
      </c>
      <c r="H32" t="inlineStr">
        <is>
          <t>Force</t>
        </is>
      </c>
      <c r="I32" t="inlineStr">
        <is>
          <t>1d6</t>
        </is>
      </c>
      <c r="J32" t="n">
        <v>1</v>
      </c>
      <c r="K32" t="n">
        <v>6</v>
      </c>
      <c r="L32" t="inlineStr">
        <is>
          <t>1d4</t>
        </is>
      </c>
      <c r="M32" t="n">
        <v>1</v>
      </c>
      <c r="N32" t="n">
        <v>4</v>
      </c>
      <c r="O32" t="inlineStr">
        <is>
          <t>Wealth 2</t>
        </is>
      </c>
      <c r="P32" t="inlineStr">
        <is>
          <t>Wealth</t>
        </is>
      </c>
      <c r="Q32" t="n">
        <v>2</v>
      </c>
      <c r="R32" t="inlineStr"/>
      <c r="S32" t="n">
        <v>0</v>
      </c>
      <c r="T32" t="inlineStr">
        <is>
          <t>—</t>
        </is>
      </c>
      <c r="U32" t="inlineStr">
        <is>
          <t>Provide arms and tools. Discount Force assets here by 1 cost.</t>
        </is>
      </c>
    </row>
    <row r="33">
      <c r="A33" t="inlineStr">
        <is>
          <t>Workshops</t>
        </is>
      </c>
      <c r="B33" t="inlineStr">
        <is>
          <t>Wealth / Standard</t>
        </is>
      </c>
      <c r="C33" t="inlineStr">
        <is>
          <t>Wealth</t>
        </is>
      </c>
      <c r="D33" t="n">
        <v>4</v>
      </c>
      <c r="E33" t="n">
        <v>6</v>
      </c>
      <c r="F33" t="inlineStr">
        <is>
          <t>—</t>
        </is>
      </c>
      <c r="G33" t="inlineStr"/>
      <c r="H33" t="inlineStr"/>
      <c r="I33" t="inlineStr">
        <is>
          <t>—</t>
        </is>
      </c>
      <c r="J33" t="n">
        <v>0</v>
      </c>
      <c r="K33" t="n">
        <v>0</v>
      </c>
      <c r="L33" t="inlineStr">
        <is>
          <t>—</t>
        </is>
      </c>
      <c r="M33" t="n">
        <v>0</v>
      </c>
      <c r="N33" t="n">
        <v>0</v>
      </c>
      <c r="O33" t="inlineStr">
        <is>
          <t>Wealth 2</t>
        </is>
      </c>
      <c r="P33" t="inlineStr">
        <is>
          <t>Wealth</t>
        </is>
      </c>
      <c r="Q33" t="n">
        <v>2</v>
      </c>
      <c r="R33" t="inlineStr"/>
      <c r="S33" t="n">
        <v>0</v>
      </c>
      <c r="T33" t="inlineStr">
        <is>
          <t>Special</t>
        </is>
      </c>
      <c r="U33" t="inlineStr">
        <is>
          <t>Reduce cost of new Wealth and Force assets here by 1 (min 1).</t>
        </is>
      </c>
    </row>
    <row r="34">
      <c r="A34" t="inlineStr">
        <is>
          <t>Storehouses</t>
        </is>
      </c>
      <c r="B34" t="inlineStr">
        <is>
          <t>Wealth / Standard</t>
        </is>
      </c>
      <c r="C34" t="inlineStr">
        <is>
          <t>Wealth</t>
        </is>
      </c>
      <c r="D34" t="n">
        <v>4</v>
      </c>
      <c r="E34" t="n">
        <v>8</v>
      </c>
      <c r="F34" t="inlineStr">
        <is>
          <t>—</t>
        </is>
      </c>
      <c r="G34" t="inlineStr"/>
      <c r="H34" t="inlineStr"/>
      <c r="I34" t="inlineStr">
        <is>
          <t>—</t>
        </is>
      </c>
      <c r="J34" t="n">
        <v>0</v>
      </c>
      <c r="K34" t="n">
        <v>0</v>
      </c>
      <c r="L34" t="inlineStr">
        <is>
          <t>—</t>
        </is>
      </c>
      <c r="M34" t="n">
        <v>0</v>
      </c>
      <c r="N34" t="n">
        <v>0</v>
      </c>
      <c r="O34" t="inlineStr">
        <is>
          <t>Wealth 2</t>
        </is>
      </c>
      <c r="P34" t="inlineStr">
        <is>
          <t>Wealth</t>
        </is>
      </c>
      <c r="Q34" t="n">
        <v>2</v>
      </c>
      <c r="R34" t="inlineStr"/>
      <c r="S34" t="n">
        <v>0</v>
      </c>
      <c r="T34" t="inlineStr">
        <is>
          <t>Special</t>
        </is>
      </c>
      <c r="U34" t="inlineStr">
        <is>
          <t>Stockpile up to 4 Treasure that can be spent later or moved.</t>
        </is>
      </c>
    </row>
    <row r="35">
      <c r="A35" t="inlineStr">
        <is>
          <t>Bonded Service</t>
        </is>
      </c>
      <c r="B35" t="inlineStr">
        <is>
          <t>Wealth / Standard</t>
        </is>
      </c>
      <c r="C35" t="inlineStr">
        <is>
          <t>Wealth</t>
        </is>
      </c>
      <c r="D35" t="n">
        <v>6</v>
      </c>
      <c r="E35" t="n">
        <v>8</v>
      </c>
      <c r="F35" t="inlineStr">
        <is>
          <t>W vs F</t>
        </is>
      </c>
      <c r="G35" t="inlineStr">
        <is>
          <t>Wealth</t>
        </is>
      </c>
      <c r="H35" t="inlineStr">
        <is>
          <t>Force</t>
        </is>
      </c>
      <c r="I35" t="inlineStr">
        <is>
          <t>1d8</t>
        </is>
      </c>
      <c r="J35" t="n">
        <v>1</v>
      </c>
      <c r="K35" t="n">
        <v>8</v>
      </c>
      <c r="L35" t="inlineStr">
        <is>
          <t>1d4</t>
        </is>
      </c>
      <c r="M35" t="n">
        <v>1</v>
      </c>
      <c r="N35" t="n">
        <v>4</v>
      </c>
      <c r="O35" t="inlineStr">
        <is>
          <t>Wealth 3</t>
        </is>
      </c>
      <c r="P35" t="inlineStr">
        <is>
          <t>Wealth</t>
        </is>
      </c>
      <c r="Q35" t="n">
        <v>3</v>
      </c>
      <c r="R35" t="inlineStr"/>
      <c r="S35" t="n">
        <v>0</v>
      </c>
      <c r="T35" t="inlineStr">
        <is>
          <t>—</t>
        </is>
      </c>
      <c r="U35" t="inlineStr">
        <is>
          <t>Indentured labour. Provides 1 Treasure every other turn.</t>
        </is>
      </c>
    </row>
    <row r="36">
      <c r="A36" t="inlineStr">
        <is>
          <t>Markets</t>
        </is>
      </c>
      <c r="B36" t="inlineStr">
        <is>
          <t>Wealth / Standard</t>
        </is>
      </c>
      <c r="C36" t="inlineStr">
        <is>
          <t>Wealth</t>
        </is>
      </c>
      <c r="D36" t="n">
        <v>6</v>
      </c>
      <c r="E36" t="n">
        <v>8</v>
      </c>
      <c r="F36" t="inlineStr">
        <is>
          <t>W vs W</t>
        </is>
      </c>
      <c r="G36" t="inlineStr">
        <is>
          <t>Wealth</t>
        </is>
      </c>
      <c r="H36" t="inlineStr">
        <is>
          <t>Wealth</t>
        </is>
      </c>
      <c r="I36" t="inlineStr">
        <is>
          <t>1d6</t>
        </is>
      </c>
      <c r="J36" t="n">
        <v>1</v>
      </c>
      <c r="K36" t="n">
        <v>6</v>
      </c>
      <c r="L36" t="inlineStr">
        <is>
          <t>—</t>
        </is>
      </c>
      <c r="M36" t="n">
        <v>0</v>
      </c>
      <c r="N36" t="n">
        <v>0</v>
      </c>
      <c r="O36" t="inlineStr">
        <is>
          <t>Wealth 3</t>
        </is>
      </c>
      <c r="P36" t="inlineStr">
        <is>
          <t>Wealth</t>
        </is>
      </c>
      <c r="Q36" t="n">
        <v>3</v>
      </c>
      <c r="R36" t="inlineStr"/>
      <c r="S36" t="n">
        <v>0</v>
      </c>
      <c r="T36" t="inlineStr">
        <is>
          <t>Special</t>
        </is>
      </c>
      <c r="U36" t="inlineStr">
        <is>
          <t>Gain +1 Treasure each turn this asset is unharmed.</t>
        </is>
      </c>
    </row>
    <row r="37">
      <c r="A37" t="inlineStr">
        <is>
          <t>Slavers</t>
        </is>
      </c>
      <c r="B37" t="inlineStr">
        <is>
          <t>Wealth / Standard</t>
        </is>
      </c>
      <c r="C37" t="inlineStr">
        <is>
          <t>Wealth</t>
        </is>
      </c>
      <c r="D37" t="n">
        <v>6</v>
      </c>
      <c r="E37" t="n">
        <v>8</v>
      </c>
      <c r="F37" t="inlineStr">
        <is>
          <t>W vs F</t>
        </is>
      </c>
      <c r="G37" t="inlineStr">
        <is>
          <t>Wealth</t>
        </is>
      </c>
      <c r="H37" t="inlineStr">
        <is>
          <t>Force</t>
        </is>
      </c>
      <c r="I37" t="inlineStr">
        <is>
          <t>1d8</t>
        </is>
      </c>
      <c r="J37" t="n">
        <v>1</v>
      </c>
      <c r="K37" t="n">
        <v>8</v>
      </c>
      <c r="L37" t="inlineStr">
        <is>
          <t>1d4</t>
        </is>
      </c>
      <c r="M37" t="n">
        <v>1</v>
      </c>
      <c r="N37" t="n">
        <v>4</v>
      </c>
      <c r="O37" t="inlineStr">
        <is>
          <t>Wealth 3</t>
        </is>
      </c>
      <c r="P37" t="inlineStr">
        <is>
          <t>Wealth</t>
        </is>
      </c>
      <c r="Q37" t="n">
        <v>3</v>
      </c>
      <c r="R37" t="inlineStr"/>
      <c r="S37" t="n">
        <v>0</v>
      </c>
      <c r="T37" t="inlineStr">
        <is>
          <t>—</t>
        </is>
      </c>
      <c r="U37" t="inlineStr">
        <is>
          <t>Captures sentient assets; can convert a defeated 1-cost enemy into 1 Treasure.</t>
        </is>
      </c>
    </row>
    <row r="38">
      <c r="A38" t="inlineStr">
        <is>
          <t>Usurers</t>
        </is>
      </c>
      <c r="B38" t="inlineStr">
        <is>
          <t>Wealth / Standard</t>
        </is>
      </c>
      <c r="C38" t="inlineStr">
        <is>
          <t>Wealth</t>
        </is>
      </c>
      <c r="D38" t="n">
        <v>4</v>
      </c>
      <c r="E38" t="n">
        <v>8</v>
      </c>
      <c r="F38" t="inlineStr">
        <is>
          <t>W vs W</t>
        </is>
      </c>
      <c r="G38" t="inlineStr">
        <is>
          <t>Wealth</t>
        </is>
      </c>
      <c r="H38" t="inlineStr">
        <is>
          <t>Wealth</t>
        </is>
      </c>
      <c r="I38" t="inlineStr">
        <is>
          <t>1d10</t>
        </is>
      </c>
      <c r="J38" t="n">
        <v>1</v>
      </c>
      <c r="K38" t="n">
        <v>10</v>
      </c>
      <c r="L38" t="inlineStr">
        <is>
          <t>—</t>
        </is>
      </c>
      <c r="M38" t="n">
        <v>0</v>
      </c>
      <c r="N38" t="n">
        <v>0</v>
      </c>
      <c r="O38" t="inlineStr">
        <is>
          <t>Wealth 3</t>
        </is>
      </c>
      <c r="P38" t="inlineStr">
        <is>
          <t>Wealth</t>
        </is>
      </c>
      <c r="Q38" t="n">
        <v>3</v>
      </c>
      <c r="R38" t="inlineStr"/>
      <c r="S38" t="n">
        <v>0</v>
      </c>
      <c r="T38" t="inlineStr">
        <is>
          <t>Special</t>
        </is>
      </c>
      <c r="U38" t="inlineStr">
        <is>
          <t>Take 1d4 damage when used to reduce cost of building or repairing an asset by 2.</t>
        </is>
      </c>
    </row>
    <row r="39">
      <c r="A39" t="inlineStr">
        <is>
          <t>Tax Collectors</t>
        </is>
      </c>
      <c r="B39" t="inlineStr">
        <is>
          <t>Wealth / Standard</t>
        </is>
      </c>
      <c r="C39" t="inlineStr">
        <is>
          <t>Wealth</t>
        </is>
      </c>
      <c r="D39" t="n">
        <v>8</v>
      </c>
      <c r="E39" t="n">
        <v>10</v>
      </c>
      <c r="F39" t="inlineStr">
        <is>
          <t>W vs W</t>
        </is>
      </c>
      <c r="G39" t="inlineStr">
        <is>
          <t>Wealth</t>
        </is>
      </c>
      <c r="H39" t="inlineStr">
        <is>
          <t>Wealth</t>
        </is>
      </c>
      <c r="I39" t="inlineStr">
        <is>
          <t>1d8</t>
        </is>
      </c>
      <c r="J39" t="n">
        <v>1</v>
      </c>
      <c r="K39" t="n">
        <v>8</v>
      </c>
      <c r="L39" t="inlineStr">
        <is>
          <t>1d4</t>
        </is>
      </c>
      <c r="M39" t="n">
        <v>1</v>
      </c>
      <c r="N39" t="n">
        <v>4</v>
      </c>
      <c r="O39" t="inlineStr">
        <is>
          <t>Wealth 4</t>
        </is>
      </c>
      <c r="P39" t="inlineStr">
        <is>
          <t>Wealth</t>
        </is>
      </c>
      <c r="Q39" t="n">
        <v>4</v>
      </c>
      <c r="R39" t="inlineStr"/>
      <c r="S39" t="n">
        <v>0</v>
      </c>
      <c r="T39" t="inlineStr">
        <is>
          <t>Special</t>
        </is>
      </c>
      <c r="U39" t="inlineStr">
        <is>
          <t>Generate +1 Treasure each turn; +2 if no rival Wealth asset shares the location.</t>
        </is>
      </c>
    </row>
    <row r="40">
      <c r="A40" t="inlineStr">
        <is>
          <t>Trade Treaty</t>
        </is>
      </c>
      <c r="B40" t="inlineStr">
        <is>
          <t>Wealth / Standard</t>
        </is>
      </c>
      <c r="C40" t="inlineStr">
        <is>
          <t>Wealth</t>
        </is>
      </c>
      <c r="D40" t="n">
        <v>8</v>
      </c>
      <c r="E40" t="n">
        <v>10</v>
      </c>
      <c r="F40" t="inlineStr">
        <is>
          <t>W vs W</t>
        </is>
      </c>
      <c r="G40" t="inlineStr">
        <is>
          <t>Wealth</t>
        </is>
      </c>
      <c r="H40" t="inlineStr">
        <is>
          <t>Wealth</t>
        </is>
      </c>
      <c r="I40" t="inlineStr">
        <is>
          <t>1d6</t>
        </is>
      </c>
      <c r="J40" t="n">
        <v>1</v>
      </c>
      <c r="K40" t="n">
        <v>6</v>
      </c>
      <c r="L40" t="inlineStr">
        <is>
          <t>—</t>
        </is>
      </c>
      <c r="M40" t="n">
        <v>0</v>
      </c>
      <c r="N40" t="n">
        <v>0</v>
      </c>
      <c r="O40" t="inlineStr">
        <is>
          <t>Wealth 4</t>
        </is>
      </c>
      <c r="P40" t="inlineStr">
        <is>
          <t>Wealth</t>
        </is>
      </c>
      <c r="Q40" t="n">
        <v>4</v>
      </c>
      <c r="R40" t="inlineStr"/>
      <c r="S40" t="n">
        <v>0</v>
      </c>
      <c r="T40" t="inlineStr">
        <is>
          <t>Subtle</t>
        </is>
      </c>
      <c r="U40" t="inlineStr">
        <is>
          <t>Each turn, gain +1 Treasure for every faction you have a treaty with.</t>
        </is>
      </c>
    </row>
    <row r="41">
      <c r="A41" t="inlineStr">
        <is>
          <t>Counting House</t>
        </is>
      </c>
      <c r="B41" t="inlineStr">
        <is>
          <t>Wealth / Standard</t>
        </is>
      </c>
      <c r="C41" t="inlineStr">
        <is>
          <t>Wealth</t>
        </is>
      </c>
      <c r="D41" t="n">
        <v>12</v>
      </c>
      <c r="E41" t="n">
        <v>12</v>
      </c>
      <c r="F41" t="inlineStr">
        <is>
          <t>W vs W</t>
        </is>
      </c>
      <c r="G41" t="inlineStr">
        <is>
          <t>Wealth</t>
        </is>
      </c>
      <c r="H41" t="inlineStr">
        <is>
          <t>Wealth</t>
        </is>
      </c>
      <c r="I41" t="inlineStr">
        <is>
          <t>1d10</t>
        </is>
      </c>
      <c r="J41" t="n">
        <v>1</v>
      </c>
      <c r="K41" t="n">
        <v>10</v>
      </c>
      <c r="L41" t="inlineStr">
        <is>
          <t>1d6</t>
        </is>
      </c>
      <c r="M41" t="n">
        <v>1</v>
      </c>
      <c r="N41" t="n">
        <v>6</v>
      </c>
      <c r="O41" t="inlineStr">
        <is>
          <t>Wealth 5</t>
        </is>
      </c>
      <c r="P41" t="inlineStr">
        <is>
          <t>Wealth</t>
        </is>
      </c>
      <c r="Q41" t="n">
        <v>5</v>
      </c>
      <c r="R41" t="inlineStr"/>
      <c r="S41" t="n">
        <v>0</v>
      </c>
      <c r="T41" t="inlineStr">
        <is>
          <t>—</t>
        </is>
      </c>
      <c r="U41" t="inlineStr">
        <is>
          <t>Banker-financier. Holds Treasure between turns and lets you lend to other factions.</t>
        </is>
      </c>
    </row>
    <row r="42">
      <c r="A42" t="inlineStr">
        <is>
          <t>Merchant Princes</t>
        </is>
      </c>
      <c r="B42" t="inlineStr">
        <is>
          <t>Wealth / Standard</t>
        </is>
      </c>
      <c r="C42" t="inlineStr">
        <is>
          <t>Wealth</t>
        </is>
      </c>
      <c r="D42" t="n">
        <v>16</v>
      </c>
      <c r="E42" t="n">
        <v>14</v>
      </c>
      <c r="F42" t="inlineStr">
        <is>
          <t>W vs W</t>
        </is>
      </c>
      <c r="G42" t="inlineStr">
        <is>
          <t>Wealth</t>
        </is>
      </c>
      <c r="H42" t="inlineStr">
        <is>
          <t>Wealth</t>
        </is>
      </c>
      <c r="I42" t="inlineStr">
        <is>
          <t>2d6</t>
        </is>
      </c>
      <c r="J42" t="n">
        <v>2</v>
      </c>
      <c r="K42" t="n">
        <v>6</v>
      </c>
      <c r="L42" t="inlineStr">
        <is>
          <t>1d8</t>
        </is>
      </c>
      <c r="M42" t="n">
        <v>1</v>
      </c>
      <c r="N42" t="n">
        <v>8</v>
      </c>
      <c r="O42" t="inlineStr">
        <is>
          <t>Wealth 6</t>
        </is>
      </c>
      <c r="P42" t="inlineStr">
        <is>
          <t>Wealth</t>
        </is>
      </c>
      <c r="Q42" t="n">
        <v>6</v>
      </c>
      <c r="R42" t="inlineStr"/>
      <c r="S42" t="n">
        <v>0</v>
      </c>
      <c r="T42" t="inlineStr">
        <is>
          <t>—</t>
        </is>
      </c>
      <c r="U42" t="inlineStr">
        <is>
          <t>Family dynasties that dominate trade. +2 Treasure per turn.</t>
        </is>
      </c>
    </row>
    <row r="43">
      <c r="A43" t="inlineStr">
        <is>
          <t>Insurance Compact</t>
        </is>
      </c>
      <c r="B43" t="inlineStr">
        <is>
          <t>Wealth / Standard</t>
        </is>
      </c>
      <c r="C43" t="inlineStr">
        <is>
          <t>Wealth</t>
        </is>
      </c>
      <c r="D43" t="n">
        <v>8</v>
      </c>
      <c r="E43" t="n">
        <v>10</v>
      </c>
      <c r="F43" t="inlineStr">
        <is>
          <t>W vs W</t>
        </is>
      </c>
      <c r="G43" t="inlineStr">
        <is>
          <t>Wealth</t>
        </is>
      </c>
      <c r="H43" t="inlineStr">
        <is>
          <t>Wealth</t>
        </is>
      </c>
      <c r="I43" t="inlineStr">
        <is>
          <t>1d6</t>
        </is>
      </c>
      <c r="J43" t="n">
        <v>1</v>
      </c>
      <c r="K43" t="n">
        <v>6</v>
      </c>
      <c r="L43" t="inlineStr">
        <is>
          <t>1d4</t>
        </is>
      </c>
      <c r="M43" t="n">
        <v>1</v>
      </c>
      <c r="N43" t="n">
        <v>4</v>
      </c>
      <c r="O43" t="inlineStr">
        <is>
          <t>Wealth 4</t>
        </is>
      </c>
      <c r="P43" t="inlineStr">
        <is>
          <t>Wealth</t>
        </is>
      </c>
      <c r="Q43" t="n">
        <v>4</v>
      </c>
      <c r="R43" t="inlineStr"/>
      <c r="S43" t="n">
        <v>0</v>
      </c>
      <c r="T43" t="inlineStr">
        <is>
          <t>Special</t>
        </is>
      </c>
      <c r="U43" t="inlineStr">
        <is>
          <t>Pay 1 Treasure to negate the loss of a destroyed Wealth asset (once per turn).</t>
        </is>
      </c>
    </row>
    <row r="44">
      <c r="A44" t="inlineStr">
        <is>
          <t>Hedge Mages</t>
        </is>
      </c>
      <c r="B44" t="inlineStr">
        <is>
          <t>Magic / Standard</t>
        </is>
      </c>
      <c r="C44" t="inlineStr">
        <is>
          <t>Magic</t>
        </is>
      </c>
      <c r="D44" t="n">
        <v>4</v>
      </c>
      <c r="E44" t="n">
        <v>6</v>
      </c>
      <c r="F44" t="inlineStr">
        <is>
          <t>M vs M</t>
        </is>
      </c>
      <c r="G44" t="inlineStr">
        <is>
          <t>Magic</t>
        </is>
      </c>
      <c r="H44" t="inlineStr">
        <is>
          <t>Magic</t>
        </is>
      </c>
      <c r="I44" t="inlineStr">
        <is>
          <t>1d6</t>
        </is>
      </c>
      <c r="J44" t="n">
        <v>1</v>
      </c>
      <c r="K44" t="n">
        <v>6</v>
      </c>
      <c r="L44" t="inlineStr">
        <is>
          <t>1d4</t>
        </is>
      </c>
      <c r="M44" t="n">
        <v>1</v>
      </c>
      <c r="N44" t="n">
        <v>4</v>
      </c>
      <c r="O44" t="inlineStr">
        <is>
          <t>Magic 1</t>
        </is>
      </c>
      <c r="P44" t="inlineStr">
        <is>
          <t>Magic</t>
        </is>
      </c>
      <c r="Q44" t="n">
        <v>1</v>
      </c>
      <c r="R44" t="inlineStr"/>
      <c r="S44" t="n">
        <v>0</v>
      </c>
      <c r="T44" t="inlineStr">
        <is>
          <t>—</t>
        </is>
      </c>
      <c r="U44" t="inlineStr">
        <is>
          <t>Folk witches and cunning-folk; cheap arcane help.</t>
        </is>
      </c>
    </row>
    <row r="45">
      <c r="A45" t="inlineStr">
        <is>
          <t>Spirit Walkers</t>
        </is>
      </c>
      <c r="B45" t="inlineStr">
        <is>
          <t>Magic / Standard</t>
        </is>
      </c>
      <c r="C45" t="inlineStr">
        <is>
          <t>Magic</t>
        </is>
      </c>
      <c r="D45" t="n">
        <v>6</v>
      </c>
      <c r="E45" t="n">
        <v>6</v>
      </c>
      <c r="F45" t="inlineStr">
        <is>
          <t>M vs C</t>
        </is>
      </c>
      <c r="G45" t="inlineStr">
        <is>
          <t>Magic</t>
        </is>
      </c>
      <c r="H45" t="inlineStr">
        <is>
          <t>Cunning</t>
        </is>
      </c>
      <c r="I45" t="inlineStr">
        <is>
          <t>1d6</t>
        </is>
      </c>
      <c r="J45" t="n">
        <v>1</v>
      </c>
      <c r="K45" t="n">
        <v>6</v>
      </c>
      <c r="L45" t="inlineStr">
        <is>
          <t>—</t>
        </is>
      </c>
      <c r="M45" t="n">
        <v>0</v>
      </c>
      <c r="N45" t="n">
        <v>0</v>
      </c>
      <c r="O45" t="inlineStr">
        <is>
          <t>Magic 2</t>
        </is>
      </c>
      <c r="P45" t="inlineStr">
        <is>
          <t>Magic</t>
        </is>
      </c>
      <c r="Q45" t="n">
        <v>2</v>
      </c>
      <c r="R45" t="inlineStr"/>
      <c r="S45" t="n">
        <v>0</v>
      </c>
      <c r="T45" t="inlineStr">
        <is>
          <t>Stealthed, Subtle</t>
        </is>
      </c>
      <c r="U45" t="inlineStr">
        <is>
          <t>Scout the spirit world; reveal one rival Stealthed asset per turn.</t>
        </is>
      </c>
    </row>
    <row r="46">
      <c r="A46" t="inlineStr">
        <is>
          <t>Ritual Casters</t>
        </is>
      </c>
      <c r="B46" t="inlineStr">
        <is>
          <t>Magic / Standard</t>
        </is>
      </c>
      <c r="C46" t="inlineStr">
        <is>
          <t>Magic</t>
        </is>
      </c>
      <c r="D46" t="n">
        <v>6</v>
      </c>
      <c r="E46" t="n">
        <v>6</v>
      </c>
      <c r="F46" t="inlineStr">
        <is>
          <t>M vs M</t>
        </is>
      </c>
      <c r="G46" t="inlineStr">
        <is>
          <t>Magic</t>
        </is>
      </c>
      <c r="H46" t="inlineStr">
        <is>
          <t>Magic</t>
        </is>
      </c>
      <c r="I46" t="inlineStr">
        <is>
          <t>1d8</t>
        </is>
      </c>
      <c r="J46" t="n">
        <v>1</v>
      </c>
      <c r="K46" t="n">
        <v>8</v>
      </c>
      <c r="L46" t="inlineStr">
        <is>
          <t>1d4</t>
        </is>
      </c>
      <c r="M46" t="n">
        <v>1</v>
      </c>
      <c r="N46" t="n">
        <v>4</v>
      </c>
      <c r="O46" t="inlineStr">
        <is>
          <t>Magic 2</t>
        </is>
      </c>
      <c r="P46" t="inlineStr">
        <is>
          <t>Magic</t>
        </is>
      </c>
      <c r="Q46" t="n">
        <v>2</v>
      </c>
      <c r="R46" t="inlineStr"/>
      <c r="S46" t="n">
        <v>0</v>
      </c>
      <c r="T46" t="inlineStr">
        <is>
          <t>Subtle</t>
        </is>
      </c>
      <c r="U46" t="inlineStr">
        <is>
          <t>Strike at consecrated targets; double damage vs Cult Networks.</t>
        </is>
      </c>
    </row>
    <row r="47">
      <c r="A47" t="inlineStr">
        <is>
          <t>Witch Coven</t>
        </is>
      </c>
      <c r="B47" t="inlineStr">
        <is>
          <t>Magic / Standard</t>
        </is>
      </c>
      <c r="C47" t="inlineStr">
        <is>
          <t>Magic</t>
        </is>
      </c>
      <c r="D47" t="n">
        <v>8</v>
      </c>
      <c r="E47" t="n">
        <v>8</v>
      </c>
      <c r="F47" t="inlineStr">
        <is>
          <t>M vs M</t>
        </is>
      </c>
      <c r="G47" t="inlineStr">
        <is>
          <t>Magic</t>
        </is>
      </c>
      <c r="H47" t="inlineStr">
        <is>
          <t>Magic</t>
        </is>
      </c>
      <c r="I47" t="inlineStr">
        <is>
          <t>1d8</t>
        </is>
      </c>
      <c r="J47" t="n">
        <v>1</v>
      </c>
      <c r="K47" t="n">
        <v>8</v>
      </c>
      <c r="L47" t="inlineStr">
        <is>
          <t>1d6</t>
        </is>
      </c>
      <c r="M47" t="n">
        <v>1</v>
      </c>
      <c r="N47" t="n">
        <v>6</v>
      </c>
      <c r="O47" t="inlineStr">
        <is>
          <t>Magic 2</t>
        </is>
      </c>
      <c r="P47" t="inlineStr">
        <is>
          <t>Magic</t>
        </is>
      </c>
      <c r="Q47" t="n">
        <v>2</v>
      </c>
      <c r="R47" t="inlineStr"/>
      <c r="S47" t="n">
        <v>0</v>
      </c>
      <c r="T47" t="inlineStr">
        <is>
          <t>—</t>
        </is>
      </c>
      <c r="U47" t="inlineStr">
        <is>
          <t>Cabal of practitioners; reduces enemy Magic by 1 while present.</t>
        </is>
      </c>
    </row>
    <row r="48">
      <c r="A48" t="inlineStr">
        <is>
          <t>Magic Workshop</t>
        </is>
      </c>
      <c r="B48" t="inlineStr">
        <is>
          <t>Magic / Standard</t>
        </is>
      </c>
      <c r="C48" t="inlineStr">
        <is>
          <t>Magic</t>
        </is>
      </c>
      <c r="D48" t="n">
        <v>8</v>
      </c>
      <c r="E48" t="n">
        <v>10</v>
      </c>
      <c r="F48" t="inlineStr">
        <is>
          <t>—</t>
        </is>
      </c>
      <c r="G48" t="inlineStr"/>
      <c r="H48" t="inlineStr"/>
      <c r="I48" t="inlineStr">
        <is>
          <t>—</t>
        </is>
      </c>
      <c r="J48" t="n">
        <v>0</v>
      </c>
      <c r="K48" t="n">
        <v>0</v>
      </c>
      <c r="L48" t="inlineStr">
        <is>
          <t>—</t>
        </is>
      </c>
      <c r="M48" t="n">
        <v>0</v>
      </c>
      <c r="N48" t="n">
        <v>0</v>
      </c>
      <c r="O48" t="inlineStr">
        <is>
          <t>Magic 2</t>
        </is>
      </c>
      <c r="P48" t="inlineStr">
        <is>
          <t>Magic</t>
        </is>
      </c>
      <c r="Q48" t="n">
        <v>2</v>
      </c>
      <c r="R48" t="inlineStr"/>
      <c r="S48" t="n">
        <v>0</v>
      </c>
      <c r="T48" t="inlineStr">
        <is>
          <t>Special</t>
        </is>
      </c>
      <c r="U48" t="inlineStr">
        <is>
          <t>Reduces cost of Magic assets here by 1 (min 1) and stores 2 Treasure.</t>
        </is>
      </c>
    </row>
    <row r="49">
      <c r="A49" t="inlineStr">
        <is>
          <t>Bound Spirit</t>
        </is>
      </c>
      <c r="B49" t="inlineStr">
        <is>
          <t>Magic / Standard</t>
        </is>
      </c>
      <c r="C49" t="inlineStr">
        <is>
          <t>Magic</t>
        </is>
      </c>
      <c r="D49" t="n">
        <v>8</v>
      </c>
      <c r="E49" t="n">
        <v>12</v>
      </c>
      <c r="F49" t="inlineStr">
        <is>
          <t>M vs F</t>
        </is>
      </c>
      <c r="G49" t="inlineStr">
        <is>
          <t>Magic</t>
        </is>
      </c>
      <c r="H49" t="inlineStr">
        <is>
          <t>Force</t>
        </is>
      </c>
      <c r="I49" t="inlineStr">
        <is>
          <t>1d8</t>
        </is>
      </c>
      <c r="J49" t="n">
        <v>1</v>
      </c>
      <c r="K49" t="n">
        <v>8</v>
      </c>
      <c r="L49" t="inlineStr">
        <is>
          <t>1d6</t>
        </is>
      </c>
      <c r="M49" t="n">
        <v>1</v>
      </c>
      <c r="N49" t="n">
        <v>6</v>
      </c>
      <c r="O49" t="inlineStr">
        <is>
          <t>Magic 3</t>
        </is>
      </c>
      <c r="P49" t="inlineStr">
        <is>
          <t>Magic</t>
        </is>
      </c>
      <c r="Q49" t="n">
        <v>3</v>
      </c>
      <c r="R49" t="inlineStr"/>
      <c r="S49" t="n">
        <v>0</v>
      </c>
      <c r="T49" t="inlineStr">
        <is>
          <t>—</t>
        </is>
      </c>
      <c r="U49" t="inlineStr">
        <is>
          <t>Servitor entity; resilient and obedient.</t>
        </is>
      </c>
    </row>
    <row r="50">
      <c r="A50" t="inlineStr">
        <is>
          <t>Demonologists</t>
        </is>
      </c>
      <c r="B50" t="inlineStr">
        <is>
          <t>Magic / Standard</t>
        </is>
      </c>
      <c r="C50" t="inlineStr">
        <is>
          <t>Magic</t>
        </is>
      </c>
      <c r="D50" t="n">
        <v>10</v>
      </c>
      <c r="E50" t="n">
        <v>8</v>
      </c>
      <c r="F50" t="inlineStr">
        <is>
          <t>M vs M</t>
        </is>
      </c>
      <c r="G50" t="inlineStr">
        <is>
          <t>Magic</t>
        </is>
      </c>
      <c r="H50" t="inlineStr">
        <is>
          <t>Magic</t>
        </is>
      </c>
      <c r="I50" t="inlineStr">
        <is>
          <t>1d10</t>
        </is>
      </c>
      <c r="J50" t="n">
        <v>1</v>
      </c>
      <c r="K50" t="n">
        <v>10</v>
      </c>
      <c r="L50" t="inlineStr">
        <is>
          <t>1d4</t>
        </is>
      </c>
      <c r="M50" t="n">
        <v>1</v>
      </c>
      <c r="N50" t="n">
        <v>4</v>
      </c>
      <c r="O50" t="inlineStr">
        <is>
          <t>Magic 3</t>
        </is>
      </c>
      <c r="P50" t="inlineStr">
        <is>
          <t>Magic</t>
        </is>
      </c>
      <c r="Q50" t="n">
        <v>3</v>
      </c>
      <c r="R50" t="inlineStr"/>
      <c r="S50" t="n">
        <v>0</v>
      </c>
      <c r="T50" t="inlineStr">
        <is>
          <t>Subtle</t>
        </is>
      </c>
      <c r="U50" t="inlineStr">
        <is>
          <t>Pact-bound summoners. Once per turn deal 1d6 damage at distance.</t>
        </is>
      </c>
    </row>
    <row r="51">
      <c r="A51" t="inlineStr">
        <is>
          <t>Adept Order</t>
        </is>
      </c>
      <c r="B51" t="inlineStr">
        <is>
          <t>Magic / Standard</t>
        </is>
      </c>
      <c r="C51" t="inlineStr">
        <is>
          <t>Magic</t>
        </is>
      </c>
      <c r="D51" t="n">
        <v>12</v>
      </c>
      <c r="E51" t="n">
        <v>12</v>
      </c>
      <c r="F51" t="inlineStr">
        <is>
          <t>M vs M</t>
        </is>
      </c>
      <c r="G51" t="inlineStr">
        <is>
          <t>Magic</t>
        </is>
      </c>
      <c r="H51" t="inlineStr">
        <is>
          <t>Magic</t>
        </is>
      </c>
      <c r="I51" t="inlineStr">
        <is>
          <t>1d10</t>
        </is>
      </c>
      <c r="J51" t="n">
        <v>1</v>
      </c>
      <c r="K51" t="n">
        <v>10</v>
      </c>
      <c r="L51" t="inlineStr">
        <is>
          <t>1d6</t>
        </is>
      </c>
      <c r="M51" t="n">
        <v>1</v>
      </c>
      <c r="N51" t="n">
        <v>6</v>
      </c>
      <c r="O51" t="inlineStr">
        <is>
          <t>Magic 4</t>
        </is>
      </c>
      <c r="P51" t="inlineStr">
        <is>
          <t>Magic</t>
        </is>
      </c>
      <c r="Q51" t="n">
        <v>4</v>
      </c>
      <c r="R51" t="inlineStr"/>
      <c r="S51" t="n">
        <v>0</v>
      </c>
      <c r="T51" t="inlineStr">
        <is>
          <t>—</t>
        </is>
      </c>
      <c r="U51" t="inlineStr">
        <is>
          <t>Formal magical school; tutors next generations of casters.</t>
        </is>
      </c>
    </row>
    <row r="52">
      <c r="A52" t="inlineStr">
        <is>
          <t>Wonderworker</t>
        </is>
      </c>
      <c r="B52" t="inlineStr">
        <is>
          <t>Magic / Standard</t>
        </is>
      </c>
      <c r="C52" t="inlineStr">
        <is>
          <t>Magic</t>
        </is>
      </c>
      <c r="D52" t="n">
        <v>16</v>
      </c>
      <c r="E52" t="n">
        <v>14</v>
      </c>
      <c r="F52" t="inlineStr">
        <is>
          <t>M vs M</t>
        </is>
      </c>
      <c r="G52" t="inlineStr">
        <is>
          <t>Magic</t>
        </is>
      </c>
      <c r="H52" t="inlineStr">
        <is>
          <t>Magic</t>
        </is>
      </c>
      <c r="I52" t="inlineStr">
        <is>
          <t>2d6</t>
        </is>
      </c>
      <c r="J52" t="n">
        <v>2</v>
      </c>
      <c r="K52" t="n">
        <v>6</v>
      </c>
      <c r="L52" t="inlineStr">
        <is>
          <t>1d8</t>
        </is>
      </c>
      <c r="M52" t="n">
        <v>1</v>
      </c>
      <c r="N52" t="n">
        <v>8</v>
      </c>
      <c r="O52" t="inlineStr">
        <is>
          <t>Magic 5</t>
        </is>
      </c>
      <c r="P52" t="inlineStr">
        <is>
          <t>Magic</t>
        </is>
      </c>
      <c r="Q52" t="n">
        <v>5</v>
      </c>
      <c r="R52" t="inlineStr"/>
      <c r="S52" t="n">
        <v>0</v>
      </c>
      <c r="T52" t="inlineStr">
        <is>
          <t>Special</t>
        </is>
      </c>
      <c r="U52" t="inlineStr">
        <is>
          <t>Singular master-mage. Once per turn cast a Heal Damage (4 HP) for free.</t>
        </is>
      </c>
    </row>
    <row r="53">
      <c r="A53" t="inlineStr">
        <is>
          <t>Death Cult</t>
        </is>
      </c>
      <c r="B53" t="inlineStr">
        <is>
          <t>Magic / Standard</t>
        </is>
      </c>
      <c r="C53" t="inlineStr">
        <is>
          <t>Magic</t>
        </is>
      </c>
      <c r="D53" t="n">
        <v>6</v>
      </c>
      <c r="E53" t="n">
        <v>8</v>
      </c>
      <c r="F53" t="inlineStr">
        <is>
          <t>M vs C</t>
        </is>
      </c>
      <c r="G53" t="inlineStr">
        <is>
          <t>Magic</t>
        </is>
      </c>
      <c r="H53" t="inlineStr">
        <is>
          <t>Cunning</t>
        </is>
      </c>
      <c r="I53" t="inlineStr">
        <is>
          <t>1d6</t>
        </is>
      </c>
      <c r="J53" t="n">
        <v>1</v>
      </c>
      <c r="K53" t="n">
        <v>6</v>
      </c>
      <c r="L53" t="inlineStr">
        <is>
          <t>1d4</t>
        </is>
      </c>
      <c r="M53" t="n">
        <v>1</v>
      </c>
      <c r="N53" t="n">
        <v>4</v>
      </c>
      <c r="O53" t="inlineStr">
        <is>
          <t>Magic 2</t>
        </is>
      </c>
      <c r="P53" t="inlineStr">
        <is>
          <t>Magic</t>
        </is>
      </c>
      <c r="Q53" t="n">
        <v>2</v>
      </c>
      <c r="R53" t="inlineStr"/>
      <c r="S53" t="n">
        <v>0</v>
      </c>
      <c r="T53" t="inlineStr">
        <is>
          <t>Subtle</t>
        </is>
      </c>
      <c r="U53" t="inlineStr">
        <is>
          <t>Death-magic cell; gains 1 Treasure each time an asset is destroyed in the location.</t>
        </is>
      </c>
    </row>
    <row r="54">
      <c r="A54" t="inlineStr">
        <is>
          <t>Living Idol</t>
        </is>
      </c>
      <c r="B54" t="inlineStr">
        <is>
          <t>Magic / Standard</t>
        </is>
      </c>
      <c r="C54" t="inlineStr">
        <is>
          <t>Magic</t>
        </is>
      </c>
      <c r="D54" t="n">
        <v>10</v>
      </c>
      <c r="E54" t="n">
        <v>14</v>
      </c>
      <c r="F54" t="inlineStr">
        <is>
          <t>M vs M</t>
        </is>
      </c>
      <c r="G54" t="inlineStr">
        <is>
          <t>Magic</t>
        </is>
      </c>
      <c r="H54" t="inlineStr">
        <is>
          <t>Magic</t>
        </is>
      </c>
      <c r="I54" t="inlineStr">
        <is>
          <t>1d8</t>
        </is>
      </c>
      <c r="J54" t="n">
        <v>1</v>
      </c>
      <c r="K54" t="n">
        <v>8</v>
      </c>
      <c r="L54" t="inlineStr">
        <is>
          <t>1d6</t>
        </is>
      </c>
      <c r="M54" t="n">
        <v>1</v>
      </c>
      <c r="N54" t="n">
        <v>6</v>
      </c>
      <c r="O54" t="inlineStr">
        <is>
          <t>Magic 3</t>
        </is>
      </c>
      <c r="P54" t="inlineStr">
        <is>
          <t>Magic</t>
        </is>
      </c>
      <c r="Q54" t="n">
        <v>3</v>
      </c>
      <c r="R54" t="inlineStr"/>
      <c r="S54" t="n">
        <v>0</v>
      </c>
      <c r="T54" t="inlineStr">
        <is>
          <t>Special</t>
        </is>
      </c>
      <c r="U54" t="inlineStr">
        <is>
          <t>Animated cult-focus. Heals 1 HP per turn while in a location with a Cult Network.</t>
        </is>
      </c>
    </row>
    <row r="55">
      <c r="A55" t="inlineStr">
        <is>
          <t>Tunnel Crawlers</t>
        </is>
      </c>
      <c r="B55" t="inlineStr">
        <is>
          <t>Force / Setting</t>
        </is>
      </c>
      <c r="C55" t="inlineStr">
        <is>
          <t>Force</t>
        </is>
      </c>
      <c r="D55" t="n">
        <v>3</v>
      </c>
      <c r="E55" t="n">
        <v>6</v>
      </c>
      <c r="F55" t="inlineStr">
        <is>
          <t>F vs F</t>
        </is>
      </c>
      <c r="G55" t="inlineStr">
        <is>
          <t>Force</t>
        </is>
      </c>
      <c r="H55" t="inlineStr">
        <is>
          <t>Force</t>
        </is>
      </c>
      <c r="I55" t="inlineStr">
        <is>
          <t>1d6</t>
        </is>
      </c>
      <c r="J55" t="n">
        <v>1</v>
      </c>
      <c r="K55" t="n">
        <v>6</v>
      </c>
      <c r="L55" t="inlineStr">
        <is>
          <t>1d4</t>
        </is>
      </c>
      <c r="M55" t="n">
        <v>1</v>
      </c>
      <c r="N55" t="n">
        <v>4</v>
      </c>
      <c r="O55" t="inlineStr">
        <is>
          <t>Force 2</t>
        </is>
      </c>
      <c r="P55" t="inlineStr">
        <is>
          <t>Force</t>
        </is>
      </c>
      <c r="Q55" t="n">
        <v>2</v>
      </c>
      <c r="R55" t="inlineStr"/>
      <c r="S55" t="n">
        <v>0</v>
      </c>
      <c r="T55" t="inlineStr">
        <is>
          <t>Mobile</t>
        </is>
      </c>
      <c r="U55" t="inlineStr">
        <is>
          <t>Light infantry trained for narrow ways; Move cost ignored within the Veins.</t>
        </is>
      </c>
    </row>
    <row r="56">
      <c r="A56" t="inlineStr">
        <is>
          <t>Lantern Wardens</t>
        </is>
      </c>
      <c r="B56" t="inlineStr">
        <is>
          <t>Force / Setting</t>
        </is>
      </c>
      <c r="C56" t="inlineStr">
        <is>
          <t>Force</t>
        </is>
      </c>
      <c r="D56" t="n">
        <v>5</v>
      </c>
      <c r="E56" t="n">
        <v>8</v>
      </c>
      <c r="F56" t="inlineStr">
        <is>
          <t>F vs M</t>
        </is>
      </c>
      <c r="G56" t="inlineStr">
        <is>
          <t>Force</t>
        </is>
      </c>
      <c r="H56" t="inlineStr">
        <is>
          <t>Magic</t>
        </is>
      </c>
      <c r="I56" t="inlineStr">
        <is>
          <t>1d8</t>
        </is>
      </c>
      <c r="J56" t="n">
        <v>1</v>
      </c>
      <c r="K56" t="n">
        <v>8</v>
      </c>
      <c r="L56" t="inlineStr">
        <is>
          <t>1d4</t>
        </is>
      </c>
      <c r="M56" t="n">
        <v>1</v>
      </c>
      <c r="N56" t="n">
        <v>4</v>
      </c>
      <c r="O56" t="inlineStr">
        <is>
          <t>Force 3</t>
        </is>
      </c>
      <c r="P56" t="inlineStr">
        <is>
          <t>Force</t>
        </is>
      </c>
      <c r="Q56" t="n">
        <v>3</v>
      </c>
      <c r="R56" t="inlineStr"/>
      <c r="S56" t="n">
        <v>0</v>
      </c>
      <c r="T56" t="inlineStr">
        <is>
          <t>Special</t>
        </is>
      </c>
      <c r="U56" t="inlineStr">
        <is>
          <t>Gnonmen heavy-light bearers. While present, rival Magic and Stealthed attacks in this location are at -1 to the roll.</t>
        </is>
      </c>
    </row>
    <row r="57">
      <c r="A57" t="inlineStr">
        <is>
          <t>Stone-Eaters</t>
        </is>
      </c>
      <c r="B57" t="inlineStr">
        <is>
          <t>Force / Setting</t>
        </is>
      </c>
      <c r="C57" t="inlineStr">
        <is>
          <t>Force</t>
        </is>
      </c>
      <c r="D57" t="n">
        <v>8</v>
      </c>
      <c r="E57" t="n">
        <v>14</v>
      </c>
      <c r="F57" t="inlineStr">
        <is>
          <t>F vs F</t>
        </is>
      </c>
      <c r="G57" t="inlineStr">
        <is>
          <t>Force</t>
        </is>
      </c>
      <c r="H57" t="inlineStr">
        <is>
          <t>Force</t>
        </is>
      </c>
      <c r="I57" t="inlineStr">
        <is>
          <t>1d10</t>
        </is>
      </c>
      <c r="J57" t="n">
        <v>1</v>
      </c>
      <c r="K57" t="n">
        <v>10</v>
      </c>
      <c r="L57" t="inlineStr">
        <is>
          <t>1d8</t>
        </is>
      </c>
      <c r="M57" t="n">
        <v>1</v>
      </c>
      <c r="N57" t="n">
        <v>8</v>
      </c>
      <c r="O57" t="inlineStr">
        <is>
          <t>Force 4, Magic 2</t>
        </is>
      </c>
      <c r="P57" t="inlineStr">
        <is>
          <t>Force</t>
        </is>
      </c>
      <c r="Q57" t="n">
        <v>4</v>
      </c>
      <c r="R57" t="inlineStr">
        <is>
          <t>Magic</t>
        </is>
      </c>
      <c r="S57" t="n">
        <v>2</v>
      </c>
      <c r="T57" t="inlineStr">
        <is>
          <t>Special</t>
        </is>
      </c>
      <c r="U57" t="inlineStr">
        <is>
          <t>Substratal close-order elementals. Halve all damage from non-Magic attacks.</t>
        </is>
      </c>
    </row>
    <row r="58">
      <c r="A58" t="inlineStr">
        <is>
          <t>Crystal Lancers</t>
        </is>
      </c>
      <c r="B58" t="inlineStr">
        <is>
          <t>Force / Setting</t>
        </is>
      </c>
      <c r="C58" t="inlineStr">
        <is>
          <t>Force</t>
        </is>
      </c>
      <c r="D58" t="n">
        <v>8</v>
      </c>
      <c r="E58" t="n">
        <v>8</v>
      </c>
      <c r="F58" t="inlineStr">
        <is>
          <t>F vs M</t>
        </is>
      </c>
      <c r="G58" t="inlineStr">
        <is>
          <t>Force</t>
        </is>
      </c>
      <c r="H58" t="inlineStr">
        <is>
          <t>Magic</t>
        </is>
      </c>
      <c r="I58" t="inlineStr">
        <is>
          <t>1d10</t>
        </is>
      </c>
      <c r="J58" t="n">
        <v>1</v>
      </c>
      <c r="K58" t="n">
        <v>10</v>
      </c>
      <c r="L58" t="inlineStr">
        <is>
          <t>1d6</t>
        </is>
      </c>
      <c r="M58" t="n">
        <v>1</v>
      </c>
      <c r="N58" t="n">
        <v>6</v>
      </c>
      <c r="O58" t="inlineStr">
        <is>
          <t>Force 3, Magic 1</t>
        </is>
      </c>
      <c r="P58" t="inlineStr">
        <is>
          <t>Force</t>
        </is>
      </c>
      <c r="Q58" t="n">
        <v>3</v>
      </c>
      <c r="R58" t="inlineStr">
        <is>
          <t>Magic</t>
        </is>
      </c>
      <c r="S58" t="n">
        <v>1</v>
      </c>
      <c r="T58" t="inlineStr">
        <is>
          <t>Special</t>
        </is>
      </c>
      <c r="U58" t="inlineStr">
        <is>
          <t>dErO troops with crackling polearms. Double damage vs Magic assets.</t>
        </is>
      </c>
    </row>
    <row r="59">
      <c r="A59" t="inlineStr">
        <is>
          <t>Spore-Maddened Slaves</t>
        </is>
      </c>
      <c r="B59" t="inlineStr">
        <is>
          <t>Force / Setting</t>
        </is>
      </c>
      <c r="C59" t="inlineStr">
        <is>
          <t>Force</t>
        </is>
      </c>
      <c r="D59" t="n">
        <v>3</v>
      </c>
      <c r="E59" t="n">
        <v>8</v>
      </c>
      <c r="F59" t="inlineStr">
        <is>
          <t>F vs F</t>
        </is>
      </c>
      <c r="G59" t="inlineStr">
        <is>
          <t>Force</t>
        </is>
      </c>
      <c r="H59" t="inlineStr">
        <is>
          <t>Force</t>
        </is>
      </c>
      <c r="I59" t="inlineStr">
        <is>
          <t>1d6</t>
        </is>
      </c>
      <c r="J59" t="n">
        <v>1</v>
      </c>
      <c r="K59" t="n">
        <v>6</v>
      </c>
      <c r="L59" t="inlineStr">
        <is>
          <t>—</t>
        </is>
      </c>
      <c r="M59" t="n">
        <v>0</v>
      </c>
      <c r="N59" t="n">
        <v>0</v>
      </c>
      <c r="O59" t="inlineStr">
        <is>
          <t>Force 2</t>
        </is>
      </c>
      <c r="P59" t="inlineStr">
        <is>
          <t>Force</t>
        </is>
      </c>
      <c r="Q59" t="n">
        <v>2</v>
      </c>
      <c r="R59" t="inlineStr"/>
      <c r="S59" t="n">
        <v>0</v>
      </c>
      <c r="T59" t="inlineStr">
        <is>
          <t>Fanatic</t>
        </is>
      </c>
      <c r="U59" t="inlineStr">
        <is>
          <t>Funginid spore-controlled bodies. Cannot retreat and cannot be Healed.</t>
        </is>
      </c>
    </row>
    <row r="60">
      <c r="A60" t="inlineStr">
        <is>
          <t>Dream-Knights of the Black Glass Court</t>
        </is>
      </c>
      <c r="B60" t="inlineStr">
        <is>
          <t>Force / Setting</t>
        </is>
      </c>
      <c r="C60" t="inlineStr">
        <is>
          <t>Force</t>
        </is>
      </c>
      <c r="D60" t="n">
        <v>14</v>
      </c>
      <c r="E60" t="n">
        <v>16</v>
      </c>
      <c r="F60" t="inlineStr">
        <is>
          <t>F vs C</t>
        </is>
      </c>
      <c r="G60" t="inlineStr">
        <is>
          <t>Force</t>
        </is>
      </c>
      <c r="H60" t="inlineStr">
        <is>
          <t>Cunning</t>
        </is>
      </c>
      <c r="I60" t="inlineStr">
        <is>
          <t>2d6</t>
        </is>
      </c>
      <c r="J60" t="n">
        <v>2</v>
      </c>
      <c r="K60" t="n">
        <v>6</v>
      </c>
      <c r="L60" t="inlineStr">
        <is>
          <t>1d10</t>
        </is>
      </c>
      <c r="M60" t="n">
        <v>1</v>
      </c>
      <c r="N60" t="n">
        <v>10</v>
      </c>
      <c r="O60" t="inlineStr">
        <is>
          <t>Force 5, Magic 2</t>
        </is>
      </c>
      <c r="P60" t="inlineStr">
        <is>
          <t>Force</t>
        </is>
      </c>
      <c r="Q60" t="n">
        <v>5</v>
      </c>
      <c r="R60" t="inlineStr">
        <is>
          <t>Magic</t>
        </is>
      </c>
      <c r="S60" t="n">
        <v>2</v>
      </c>
      <c r="T60" t="inlineStr">
        <is>
          <t>—</t>
        </is>
      </c>
      <c r="U60" t="inlineStr">
        <is>
          <t>Aelf-Adal household champions. +1 to attack rolls vs locations under any Cult Network.</t>
        </is>
      </c>
    </row>
    <row r="61">
      <c r="A61" t="inlineStr">
        <is>
          <t>Spore-Wreaths</t>
        </is>
      </c>
      <c r="B61" t="inlineStr">
        <is>
          <t>Cunning / Setting</t>
        </is>
      </c>
      <c r="C61" t="inlineStr">
        <is>
          <t>Cunning</t>
        </is>
      </c>
      <c r="D61" t="n">
        <v>4</v>
      </c>
      <c r="E61" t="n">
        <v>6</v>
      </c>
      <c r="F61" t="inlineStr">
        <is>
          <t>C vs C</t>
        </is>
      </c>
      <c r="G61" t="inlineStr">
        <is>
          <t>Cunning</t>
        </is>
      </c>
      <c r="H61" t="inlineStr">
        <is>
          <t>Cunning</t>
        </is>
      </c>
      <c r="I61" t="inlineStr">
        <is>
          <t>1d6</t>
        </is>
      </c>
      <c r="J61" t="n">
        <v>1</v>
      </c>
      <c r="K61" t="n">
        <v>6</v>
      </c>
      <c r="L61" t="inlineStr">
        <is>
          <t>—</t>
        </is>
      </c>
      <c r="M61" t="n">
        <v>0</v>
      </c>
      <c r="N61" t="n">
        <v>0</v>
      </c>
      <c r="O61" t="inlineStr">
        <is>
          <t>Cunning 2</t>
        </is>
      </c>
      <c r="P61" t="inlineStr">
        <is>
          <t>Cunning</t>
        </is>
      </c>
      <c r="Q61" t="n">
        <v>2</v>
      </c>
      <c r="R61" t="inlineStr"/>
      <c r="S61" t="n">
        <v>0</v>
      </c>
      <c r="T61" t="inlineStr">
        <is>
          <t>Stealthed, Subtle</t>
        </is>
      </c>
      <c r="U61" t="inlineStr">
        <is>
          <t>Funginid spy-mats. If destroyed in a location with another Funginid asset, re-roots at 1 HP next turn at no cost.</t>
        </is>
      </c>
    </row>
    <row r="62">
      <c r="A62" t="inlineStr">
        <is>
          <t>Lightless Cartographers</t>
        </is>
      </c>
      <c r="B62" t="inlineStr">
        <is>
          <t>Cunning / Setting</t>
        </is>
      </c>
      <c r="C62" t="inlineStr">
        <is>
          <t>Cunning</t>
        </is>
      </c>
      <c r="D62" t="n">
        <v>3</v>
      </c>
      <c r="E62" t="n">
        <v>4</v>
      </c>
      <c r="F62" t="inlineStr">
        <is>
          <t>C vs C</t>
        </is>
      </c>
      <c r="G62" t="inlineStr">
        <is>
          <t>Cunning</t>
        </is>
      </c>
      <c r="H62" t="inlineStr">
        <is>
          <t>Cunning</t>
        </is>
      </c>
      <c r="I62" t="inlineStr">
        <is>
          <t>1d4</t>
        </is>
      </c>
      <c r="J62" t="n">
        <v>1</v>
      </c>
      <c r="K62" t="n">
        <v>4</v>
      </c>
      <c r="L62" t="inlineStr">
        <is>
          <t>—</t>
        </is>
      </c>
      <c r="M62" t="n">
        <v>0</v>
      </c>
      <c r="N62" t="n">
        <v>0</v>
      </c>
      <c r="O62" t="inlineStr">
        <is>
          <t>Cunning 1</t>
        </is>
      </c>
      <c r="P62" t="inlineStr">
        <is>
          <t>Cunning</t>
        </is>
      </c>
      <c r="Q62" t="n">
        <v>1</v>
      </c>
      <c r="R62" t="inlineStr"/>
      <c r="S62" t="n">
        <v>0</v>
      </c>
      <c r="T62" t="inlineStr">
        <is>
          <t>Stealthed, Mobile</t>
        </is>
      </c>
      <c r="U62" t="inlineStr">
        <is>
          <t>Veins mapmakers. Once per turn, reveal one unexplored adjacent location to the owning faction.</t>
        </is>
      </c>
    </row>
    <row r="63">
      <c r="A63" t="inlineStr">
        <is>
          <t>Debt-Collectors</t>
        </is>
      </c>
      <c r="B63" t="inlineStr">
        <is>
          <t>Cunning / Setting</t>
        </is>
      </c>
      <c r="C63" t="inlineStr">
        <is>
          <t>Cunning</t>
        </is>
      </c>
      <c r="D63" t="n">
        <v>5</v>
      </c>
      <c r="E63" t="n">
        <v>6</v>
      </c>
      <c r="F63" t="inlineStr">
        <is>
          <t>C vs W</t>
        </is>
      </c>
      <c r="G63" t="inlineStr">
        <is>
          <t>Cunning</t>
        </is>
      </c>
      <c r="H63" t="inlineStr">
        <is>
          <t>Wealth</t>
        </is>
      </c>
      <c r="I63" t="inlineStr">
        <is>
          <t>1d8</t>
        </is>
      </c>
      <c r="J63" t="n">
        <v>1</v>
      </c>
      <c r="K63" t="n">
        <v>8</v>
      </c>
      <c r="L63" t="inlineStr">
        <is>
          <t>—</t>
        </is>
      </c>
      <c r="M63" t="n">
        <v>0</v>
      </c>
      <c r="N63" t="n">
        <v>0</v>
      </c>
      <c r="O63" t="inlineStr">
        <is>
          <t>Cunning 2, Magic 1</t>
        </is>
      </c>
      <c r="P63" t="inlineStr">
        <is>
          <t>Cunning</t>
        </is>
      </c>
      <c r="Q63" t="n">
        <v>2</v>
      </c>
      <c r="R63" t="inlineStr">
        <is>
          <t>Magic</t>
        </is>
      </c>
      <c r="S63" t="n">
        <v>1</v>
      </c>
      <c r="T63" t="inlineStr">
        <is>
          <t>Subtle</t>
        </is>
      </c>
      <c r="U63" t="inlineStr">
        <is>
          <t>Knotsmen with infernally binding scrolls. On a successful attack, owner gains 1 Treasure instead of (or in addition to) inflicting the last 2 damage.</t>
        </is>
      </c>
    </row>
    <row r="64">
      <c r="A64" t="inlineStr">
        <is>
          <t>Dream-Walkers</t>
        </is>
      </c>
      <c r="B64" t="inlineStr">
        <is>
          <t>Cunning / Setting</t>
        </is>
      </c>
      <c r="C64" t="inlineStr">
        <is>
          <t>Cunning</t>
        </is>
      </c>
      <c r="D64" t="n">
        <v>6</v>
      </c>
      <c r="E64" t="n">
        <v>6</v>
      </c>
      <c r="F64" t="inlineStr">
        <is>
          <t>C vs M</t>
        </is>
      </c>
      <c r="G64" t="inlineStr">
        <is>
          <t>Cunning</t>
        </is>
      </c>
      <c r="H64" t="inlineStr">
        <is>
          <t>Magic</t>
        </is>
      </c>
      <c r="I64" t="inlineStr">
        <is>
          <t>1d8</t>
        </is>
      </c>
      <c r="J64" t="n">
        <v>1</v>
      </c>
      <c r="K64" t="n">
        <v>8</v>
      </c>
      <c r="L64" t="inlineStr">
        <is>
          <t>—</t>
        </is>
      </c>
      <c r="M64" t="n">
        <v>0</v>
      </c>
      <c r="N64" t="n">
        <v>0</v>
      </c>
      <c r="O64" t="inlineStr">
        <is>
          <t>Cunning 3, Magic 2</t>
        </is>
      </c>
      <c r="P64" t="inlineStr">
        <is>
          <t>Cunning</t>
        </is>
      </c>
      <c r="Q64" t="n">
        <v>3</v>
      </c>
      <c r="R64" t="inlineStr">
        <is>
          <t>Magic</t>
        </is>
      </c>
      <c r="S64" t="n">
        <v>2</v>
      </c>
      <c r="T64" t="inlineStr">
        <is>
          <t>Stealthed, Subtle</t>
        </is>
      </c>
      <c r="U64" t="inlineStr">
        <is>
          <t>Aelf-Adal subconscious infiltrators. May attack any asset in a location that contains a Cult Network, regardless of distance.</t>
        </is>
      </c>
    </row>
    <row r="65">
      <c r="A65" t="inlineStr">
        <is>
          <t>Olm Listeners</t>
        </is>
      </c>
      <c r="B65" t="inlineStr">
        <is>
          <t>Cunning / Setting</t>
        </is>
      </c>
      <c r="C65" t="inlineStr">
        <is>
          <t>Cunning</t>
        </is>
      </c>
      <c r="D65" t="n">
        <v>2</v>
      </c>
      <c r="E65" t="n">
        <v>4</v>
      </c>
      <c r="F65" t="inlineStr">
        <is>
          <t>C vs C</t>
        </is>
      </c>
      <c r="G65" t="inlineStr">
        <is>
          <t>Cunning</t>
        </is>
      </c>
      <c r="H65" t="inlineStr">
        <is>
          <t>Cunning</t>
        </is>
      </c>
      <c r="I65" t="inlineStr">
        <is>
          <t>1d6</t>
        </is>
      </c>
      <c r="J65" t="n">
        <v>1</v>
      </c>
      <c r="K65" t="n">
        <v>6</v>
      </c>
      <c r="L65" t="inlineStr">
        <is>
          <t>—</t>
        </is>
      </c>
      <c r="M65" t="n">
        <v>0</v>
      </c>
      <c r="N65" t="n">
        <v>0</v>
      </c>
      <c r="O65" t="inlineStr">
        <is>
          <t>Cunning 1</t>
        </is>
      </c>
      <c r="P65" t="inlineStr">
        <is>
          <t>Cunning</t>
        </is>
      </c>
      <c r="Q65" t="n">
        <v>1</v>
      </c>
      <c r="R65" t="inlineStr"/>
      <c r="S65" t="n">
        <v>0</v>
      </c>
      <c r="T65" t="inlineStr">
        <is>
          <t>Stealthed</t>
        </is>
      </c>
      <c r="U65" t="inlineStr">
        <is>
          <t>Silent amphibians pressed to wet stone. Free action: on 4+ on 1d6, learn one rival action declared this turn.</t>
        </is>
      </c>
    </row>
    <row r="66">
      <c r="A66" t="inlineStr">
        <is>
          <t>Janeen Aesthete-Spies</t>
        </is>
      </c>
      <c r="B66" t="inlineStr">
        <is>
          <t>Cunning / Setting</t>
        </is>
      </c>
      <c r="C66" t="inlineStr">
        <is>
          <t>Cunning</t>
        </is>
      </c>
      <c r="D66" t="n">
        <v>8</v>
      </c>
      <c r="E66" t="n">
        <v>8</v>
      </c>
      <c r="F66" t="inlineStr">
        <is>
          <t>C vs C</t>
        </is>
      </c>
      <c r="G66" t="inlineStr">
        <is>
          <t>Cunning</t>
        </is>
      </c>
      <c r="H66" t="inlineStr">
        <is>
          <t>Cunning</t>
        </is>
      </c>
      <c r="I66" t="inlineStr">
        <is>
          <t>1d10</t>
        </is>
      </c>
      <c r="J66" t="n">
        <v>1</v>
      </c>
      <c r="K66" t="n">
        <v>10</v>
      </c>
      <c r="L66" t="inlineStr">
        <is>
          <t>—</t>
        </is>
      </c>
      <c r="M66" t="n">
        <v>0</v>
      </c>
      <c r="N66" t="n">
        <v>0</v>
      </c>
      <c r="O66" t="inlineStr">
        <is>
          <t>Cunning 4, Magic 2</t>
        </is>
      </c>
      <c r="P66" t="inlineStr">
        <is>
          <t>Cunning</t>
        </is>
      </c>
      <c r="Q66" t="n">
        <v>4</v>
      </c>
      <c r="R66" t="inlineStr">
        <is>
          <t>Magic</t>
        </is>
      </c>
      <c r="S66" t="n">
        <v>2</v>
      </c>
      <c r="T66" t="inlineStr">
        <is>
          <t>Subtle</t>
        </is>
      </c>
      <c r="U66" t="inlineStr">
        <is>
          <t>Deep Janeen connoisseur-intelligencers. Each turn, reveal one tag of a rival faction (may also be used as polite blackmail).</t>
        </is>
      </c>
    </row>
    <row r="67">
      <c r="A67" t="inlineStr">
        <is>
          <t>Mushroom Fields</t>
        </is>
      </c>
      <c r="B67" t="inlineStr">
        <is>
          <t>Wealth / Setting</t>
        </is>
      </c>
      <c r="C67" t="inlineStr">
        <is>
          <t>Wealth</t>
        </is>
      </c>
      <c r="D67" t="n">
        <v>2</v>
      </c>
      <c r="E67" t="n">
        <v>6</v>
      </c>
      <c r="F67" t="inlineStr">
        <is>
          <t>W vs W</t>
        </is>
      </c>
      <c r="G67" t="inlineStr">
        <is>
          <t>Wealth</t>
        </is>
      </c>
      <c r="H67" t="inlineStr">
        <is>
          <t>Wealth</t>
        </is>
      </c>
      <c r="I67" t="inlineStr">
        <is>
          <t>1d4</t>
        </is>
      </c>
      <c r="J67" t="n">
        <v>1</v>
      </c>
      <c r="K67" t="n">
        <v>4</v>
      </c>
      <c r="L67" t="inlineStr">
        <is>
          <t>1d4</t>
        </is>
      </c>
      <c r="M67" t="n">
        <v>1</v>
      </c>
      <c r="N67" t="n">
        <v>4</v>
      </c>
      <c r="O67" t="inlineStr">
        <is>
          <t>Wealth 2</t>
        </is>
      </c>
      <c r="P67" t="inlineStr">
        <is>
          <t>Wealth</t>
        </is>
      </c>
      <c r="Q67" t="n">
        <v>2</v>
      </c>
      <c r="R67" t="inlineStr"/>
      <c r="S67" t="n">
        <v>0</v>
      </c>
      <c r="T67" t="inlineStr">
        <is>
          <t>Special</t>
        </is>
      </c>
      <c r="U67" t="inlineStr">
        <is>
          <t>Gnonmen subsistence cultivation. On 4+ on 1d6 at turn start, gain 1 Treasure. Any fire or scour attack deals +3 damage to this asset.</t>
        </is>
      </c>
    </row>
    <row r="68">
      <c r="A68" t="inlineStr">
        <is>
          <t>Pact-Vaults</t>
        </is>
      </c>
      <c r="B68" t="inlineStr">
        <is>
          <t>Wealth / Setting</t>
        </is>
      </c>
      <c r="C68" t="inlineStr">
        <is>
          <t>Wealth</t>
        </is>
      </c>
      <c r="D68" t="n">
        <v>10</v>
      </c>
      <c r="E68" t="n">
        <v>10</v>
      </c>
      <c r="F68" t="inlineStr">
        <is>
          <t>W vs W</t>
        </is>
      </c>
      <c r="G68" t="inlineStr">
        <is>
          <t>Wealth</t>
        </is>
      </c>
      <c r="H68" t="inlineStr">
        <is>
          <t>Wealth</t>
        </is>
      </c>
      <c r="I68" t="inlineStr">
        <is>
          <t>1d8</t>
        </is>
      </c>
      <c r="J68" t="n">
        <v>1</v>
      </c>
      <c r="K68" t="n">
        <v>8</v>
      </c>
      <c r="L68" t="inlineStr">
        <is>
          <t>1d4</t>
        </is>
      </c>
      <c r="M68" t="n">
        <v>1</v>
      </c>
      <c r="N68" t="n">
        <v>4</v>
      </c>
      <c r="O68" t="inlineStr">
        <is>
          <t>Wealth 4, Magic 1</t>
        </is>
      </c>
      <c r="P68" t="inlineStr">
        <is>
          <t>Wealth</t>
        </is>
      </c>
      <c r="Q68" t="n">
        <v>4</v>
      </c>
      <c r="R68" t="inlineStr">
        <is>
          <t>Magic</t>
        </is>
      </c>
      <c r="S68" t="n">
        <v>1</v>
      </c>
      <c r="T68" t="inlineStr">
        <is>
          <t>Special</t>
        </is>
      </c>
      <c r="U68" t="inlineStr">
        <is>
          <t>Knotsmen infernal banking. Stockpiles up to 6 Treasure. If destroyed, the stored Treasure is lost AND the attacker's nearest Wealth asset takes 2d6 damage from vengeful contract-fiends.</t>
        </is>
      </c>
    </row>
    <row r="69">
      <c r="A69" t="inlineStr">
        <is>
          <t>Crystal Mines</t>
        </is>
      </c>
      <c r="B69" t="inlineStr">
        <is>
          <t>Wealth / Setting</t>
        </is>
      </c>
      <c r="C69" t="inlineStr">
        <is>
          <t>Wealth</t>
        </is>
      </c>
      <c r="D69" t="n">
        <v>6</v>
      </c>
      <c r="E69" t="n">
        <v>10</v>
      </c>
      <c r="F69" t="inlineStr">
        <is>
          <t>W vs F</t>
        </is>
      </c>
      <c r="G69" t="inlineStr">
        <is>
          <t>Wealth</t>
        </is>
      </c>
      <c r="H69" t="inlineStr">
        <is>
          <t>Force</t>
        </is>
      </c>
      <c r="I69" t="inlineStr">
        <is>
          <t>1d6</t>
        </is>
      </c>
      <c r="J69" t="n">
        <v>1</v>
      </c>
      <c r="K69" t="n">
        <v>6</v>
      </c>
      <c r="L69" t="inlineStr">
        <is>
          <t>1d6</t>
        </is>
      </c>
      <c r="M69" t="n">
        <v>1</v>
      </c>
      <c r="N69" t="n">
        <v>6</v>
      </c>
      <c r="O69" t="inlineStr">
        <is>
          <t>Wealth 3, Magic 1</t>
        </is>
      </c>
      <c r="P69" t="inlineStr">
        <is>
          <t>Wealth</t>
        </is>
      </c>
      <c r="Q69" t="n">
        <v>3</v>
      </c>
      <c r="R69" t="inlineStr">
        <is>
          <t>Magic</t>
        </is>
      </c>
      <c r="S69" t="n">
        <v>1</v>
      </c>
      <c r="T69" t="inlineStr">
        <is>
          <t>Special</t>
        </is>
      </c>
      <c r="U69" t="inlineStr">
        <is>
          <t>dErO industrial workings. +1 Treasure per turn; reduces the Cost of Magic assets built at this location by 1 (min 1).</t>
        </is>
      </c>
    </row>
    <row r="70">
      <c r="A70" t="inlineStr">
        <is>
          <t>Maze-Toll</t>
        </is>
      </c>
      <c r="B70" t="inlineStr">
        <is>
          <t>Wealth / Setting</t>
        </is>
      </c>
      <c r="C70" t="inlineStr">
        <is>
          <t>Wealth</t>
        </is>
      </c>
      <c r="D70" t="n">
        <v>8</v>
      </c>
      <c r="E70" t="n">
        <v>10</v>
      </c>
      <c r="F70" t="inlineStr">
        <is>
          <t>W vs M</t>
        </is>
      </c>
      <c r="G70" t="inlineStr">
        <is>
          <t>Wealth</t>
        </is>
      </c>
      <c r="H70" t="inlineStr">
        <is>
          <t>Magic</t>
        </is>
      </c>
      <c r="I70" t="inlineStr">
        <is>
          <t>1d6</t>
        </is>
      </c>
      <c r="J70" t="n">
        <v>1</v>
      </c>
      <c r="K70" t="n">
        <v>6</v>
      </c>
      <c r="L70" t="inlineStr">
        <is>
          <t>—</t>
        </is>
      </c>
      <c r="M70" t="n">
        <v>0</v>
      </c>
      <c r="N70" t="n">
        <v>0</v>
      </c>
      <c r="O70" t="inlineStr">
        <is>
          <t>Wealth 4, Magic 3</t>
        </is>
      </c>
      <c r="P70" t="inlineStr">
        <is>
          <t>Wealth</t>
        </is>
      </c>
      <c r="Q70" t="n">
        <v>4</v>
      </c>
      <c r="R70" t="inlineStr">
        <is>
          <t>Magic</t>
        </is>
      </c>
      <c r="S70" t="n">
        <v>3</v>
      </c>
      <c r="T70" t="inlineStr">
        <is>
          <t>Special</t>
        </is>
      </c>
      <c r="U70" t="inlineStr">
        <is>
          <t>Deep Janeen labyrinth-entry. +2 Treasure per turn while undisturbed; collapses (asset destroyed) if any rival Magic asset enters the location.</t>
        </is>
      </c>
    </row>
    <row r="71">
      <c r="A71" t="inlineStr">
        <is>
          <t>Hidden Larder</t>
        </is>
      </c>
      <c r="B71" t="inlineStr">
        <is>
          <t>Wealth / Setting</t>
        </is>
      </c>
      <c r="C71" t="inlineStr">
        <is>
          <t>Wealth</t>
        </is>
      </c>
      <c r="D71" t="n">
        <v>2</v>
      </c>
      <c r="E71" t="n">
        <v>4</v>
      </c>
      <c r="F71" t="inlineStr">
        <is>
          <t>—</t>
        </is>
      </c>
      <c r="G71" t="inlineStr"/>
      <c r="H71" t="inlineStr"/>
      <c r="I71" t="inlineStr">
        <is>
          <t>—</t>
        </is>
      </c>
      <c r="J71" t="n">
        <v>0</v>
      </c>
      <c r="K71" t="n">
        <v>0</v>
      </c>
      <c r="L71" t="inlineStr">
        <is>
          <t>—</t>
        </is>
      </c>
      <c r="M71" t="n">
        <v>0</v>
      </c>
      <c r="N71" t="n">
        <v>0</v>
      </c>
      <c r="O71" t="inlineStr">
        <is>
          <t>Wealth 1</t>
        </is>
      </c>
      <c r="P71" t="inlineStr">
        <is>
          <t>Wealth</t>
        </is>
      </c>
      <c r="Q71" t="n">
        <v>1</v>
      </c>
      <c r="R71" t="inlineStr"/>
      <c r="S71" t="n">
        <v>0</v>
      </c>
      <c r="T71" t="inlineStr">
        <is>
          <t>Stealthed, Special</t>
        </is>
      </c>
      <c r="U71" t="inlineStr">
        <is>
          <t>Olm food caches squirreled into wet stone. Spend 1 Treasure as a free action to bring one of your destroyed non-Magic 1-cost assets back at 1 HP in this location.</t>
        </is>
      </c>
    </row>
    <row r="72">
      <c r="A72" t="inlineStr">
        <is>
          <t>Substratal Tribute Stones</t>
        </is>
      </c>
      <c r="B72" t="inlineStr">
        <is>
          <t>Wealth / Setting</t>
        </is>
      </c>
      <c r="C72" t="inlineStr">
        <is>
          <t>Wealth</t>
        </is>
      </c>
      <c r="D72" t="n">
        <v>6</v>
      </c>
      <c r="E72" t="n">
        <v>10</v>
      </c>
      <c r="F72" t="inlineStr">
        <is>
          <t>—</t>
        </is>
      </c>
      <c r="G72" t="inlineStr"/>
      <c r="H72" t="inlineStr"/>
      <c r="I72" t="inlineStr">
        <is>
          <t>—</t>
        </is>
      </c>
      <c r="J72" t="n">
        <v>0</v>
      </c>
      <c r="K72" t="n">
        <v>0</v>
      </c>
      <c r="L72" t="inlineStr">
        <is>
          <t>—</t>
        </is>
      </c>
      <c r="M72" t="n">
        <v>0</v>
      </c>
      <c r="N72" t="n">
        <v>0</v>
      </c>
      <c r="O72" t="inlineStr">
        <is>
          <t>Wealth 3, Magic 2</t>
        </is>
      </c>
      <c r="P72" t="inlineStr">
        <is>
          <t>Wealth</t>
        </is>
      </c>
      <c r="Q72" t="n">
        <v>3</v>
      </c>
      <c r="R72" t="inlineStr">
        <is>
          <t>Magic</t>
        </is>
      </c>
      <c r="S72" t="n">
        <v>2</v>
      </c>
      <c r="T72" t="inlineStr">
        <is>
          <t>Special</t>
        </is>
      </c>
      <c r="U72" t="inlineStr">
        <is>
          <t>Geomantic tax-pillars. Generates +1 Treasure per turn for every Magic asset that shares this location, including rivals'.</t>
        </is>
      </c>
    </row>
    <row r="73">
      <c r="A73" t="inlineStr">
        <is>
          <t>Spore-Cathedral Choir</t>
        </is>
      </c>
      <c r="B73" t="inlineStr">
        <is>
          <t>Magic / Setting</t>
        </is>
      </c>
      <c r="C73" t="inlineStr">
        <is>
          <t>Magic</t>
        </is>
      </c>
      <c r="D73" t="n">
        <v>8</v>
      </c>
      <c r="E73" t="n">
        <v>10</v>
      </c>
      <c r="F73" t="inlineStr">
        <is>
          <t>M vs M</t>
        </is>
      </c>
      <c r="G73" t="inlineStr">
        <is>
          <t>Magic</t>
        </is>
      </c>
      <c r="H73" t="inlineStr">
        <is>
          <t>Magic</t>
        </is>
      </c>
      <c r="I73" t="inlineStr">
        <is>
          <t>1d8</t>
        </is>
      </c>
      <c r="J73" t="n">
        <v>1</v>
      </c>
      <c r="K73" t="n">
        <v>8</v>
      </c>
      <c r="L73" t="inlineStr">
        <is>
          <t>1d6</t>
        </is>
      </c>
      <c r="M73" t="n">
        <v>1</v>
      </c>
      <c r="N73" t="n">
        <v>6</v>
      </c>
      <c r="O73" t="inlineStr">
        <is>
          <t>Magic 3</t>
        </is>
      </c>
      <c r="P73" t="inlineStr">
        <is>
          <t>Magic</t>
        </is>
      </c>
      <c r="Q73" t="n">
        <v>3</v>
      </c>
      <c r="R73" t="inlineStr"/>
      <c r="S73" t="n">
        <v>0</v>
      </c>
      <c r="T73" t="inlineStr">
        <is>
          <t>Special</t>
        </is>
      </c>
      <c r="U73" t="inlineStr">
        <is>
          <t>Funginid ritualists. At start of each turn, heal 1 HP to every Funginid Cunning asset in this location.</t>
        </is>
      </c>
    </row>
    <row r="74">
      <c r="A74" t="inlineStr">
        <is>
          <t>Dream Anchor</t>
        </is>
      </c>
      <c r="B74" t="inlineStr">
        <is>
          <t>Magic / Setting</t>
        </is>
      </c>
      <c r="C74" t="inlineStr">
        <is>
          <t>Magic</t>
        </is>
      </c>
      <c r="D74" t="n">
        <v>10</v>
      </c>
      <c r="E74" t="n">
        <v>14</v>
      </c>
      <c r="F74" t="inlineStr">
        <is>
          <t>M vs M</t>
        </is>
      </c>
      <c r="G74" t="inlineStr">
        <is>
          <t>Magic</t>
        </is>
      </c>
      <c r="H74" t="inlineStr">
        <is>
          <t>Magic</t>
        </is>
      </c>
      <c r="I74" t="inlineStr">
        <is>
          <t>1d6</t>
        </is>
      </c>
      <c r="J74" t="n">
        <v>1</v>
      </c>
      <c r="K74" t="n">
        <v>6</v>
      </c>
      <c r="L74" t="inlineStr">
        <is>
          <t>1d8</t>
        </is>
      </c>
      <c r="M74" t="n">
        <v>1</v>
      </c>
      <c r="N74" t="n">
        <v>8</v>
      </c>
      <c r="O74" t="inlineStr">
        <is>
          <t>Magic 4</t>
        </is>
      </c>
      <c r="P74" t="inlineStr">
        <is>
          <t>Magic</t>
        </is>
      </c>
      <c r="Q74" t="n">
        <v>4</v>
      </c>
      <c r="R74" t="inlineStr"/>
      <c r="S74" t="n">
        <v>0</v>
      </c>
      <c r="T74" t="inlineStr">
        <is>
          <t>Special</t>
        </is>
      </c>
      <c r="U74" t="inlineStr">
        <is>
          <t>Aelf-Adal sleeping-relic. Rival Magic actions in this location cost +1 Treasure.</t>
        </is>
      </c>
    </row>
    <row r="75">
      <c r="A75" t="inlineStr">
        <is>
          <t>Demonic Notary</t>
        </is>
      </c>
      <c r="B75" t="inlineStr">
        <is>
          <t>Magic / Setting</t>
        </is>
      </c>
      <c r="C75" t="inlineStr">
        <is>
          <t>Magic</t>
        </is>
      </c>
      <c r="D75" t="n">
        <v>12</v>
      </c>
      <c r="E75" t="n">
        <v>10</v>
      </c>
      <c r="F75" t="inlineStr">
        <is>
          <t>M vs M</t>
        </is>
      </c>
      <c r="G75" t="inlineStr">
        <is>
          <t>Magic</t>
        </is>
      </c>
      <c r="H75" t="inlineStr">
        <is>
          <t>Magic</t>
        </is>
      </c>
      <c r="I75" t="inlineStr">
        <is>
          <t>1d10</t>
        </is>
      </c>
      <c r="J75" t="n">
        <v>1</v>
      </c>
      <c r="K75" t="n">
        <v>10</v>
      </c>
      <c r="L75" t="inlineStr">
        <is>
          <t>1d6</t>
        </is>
      </c>
      <c r="M75" t="n">
        <v>1</v>
      </c>
      <c r="N75" t="n">
        <v>6</v>
      </c>
      <c r="O75" t="inlineStr">
        <is>
          <t>Magic 3</t>
        </is>
      </c>
      <c r="P75" t="inlineStr">
        <is>
          <t>Magic</t>
        </is>
      </c>
      <c r="Q75" t="n">
        <v>3</v>
      </c>
      <c r="R75" t="inlineStr"/>
      <c r="S75" t="n">
        <v>0</v>
      </c>
      <c r="T75" t="inlineStr">
        <is>
          <t>Subtle, Special</t>
        </is>
      </c>
      <c r="U75" t="inlineStr">
        <is>
          <t>Knotsmen pact-fiend. Once per turn, force any rival to pay 1 Treasure or cancel an action declared against your faction.</t>
        </is>
      </c>
    </row>
    <row r="76">
      <c r="A76" t="inlineStr">
        <is>
          <t>Hearth-Lantern Shrine</t>
        </is>
      </c>
      <c r="B76" t="inlineStr">
        <is>
          <t>Magic / Setting</t>
        </is>
      </c>
      <c r="C76" t="inlineStr">
        <is>
          <t>Magic</t>
        </is>
      </c>
      <c r="D76" t="n">
        <v>5</v>
      </c>
      <c r="E76" t="n">
        <v>8</v>
      </c>
      <c r="F76" t="inlineStr">
        <is>
          <t>M vs M</t>
        </is>
      </c>
      <c r="G76" t="inlineStr">
        <is>
          <t>Magic</t>
        </is>
      </c>
      <c r="H76" t="inlineStr">
        <is>
          <t>Magic</t>
        </is>
      </c>
      <c r="I76" t="inlineStr">
        <is>
          <t>1d6</t>
        </is>
      </c>
      <c r="J76" t="n">
        <v>1</v>
      </c>
      <c r="K76" t="n">
        <v>6</v>
      </c>
      <c r="L76" t="inlineStr">
        <is>
          <t>1d4</t>
        </is>
      </c>
      <c r="M76" t="n">
        <v>1</v>
      </c>
      <c r="N76" t="n">
        <v>4</v>
      </c>
      <c r="O76" t="inlineStr">
        <is>
          <t>Magic 2</t>
        </is>
      </c>
      <c r="P76" t="inlineStr">
        <is>
          <t>Magic</t>
        </is>
      </c>
      <c r="Q76" t="n">
        <v>2</v>
      </c>
      <c r="R76" t="inlineStr"/>
      <c r="S76" t="n">
        <v>0</v>
      </c>
      <c r="T76" t="inlineStr">
        <is>
          <t>Special</t>
        </is>
      </c>
      <c r="U76" t="inlineStr">
        <is>
          <t>Gnonmen warding-light. Stealthed assets in this location are revealed automatically; the light does not permit hiding.</t>
        </is>
      </c>
    </row>
    <row r="77">
      <c r="A77" t="inlineStr">
        <is>
          <t>Stone-Voice Oracle</t>
        </is>
      </c>
      <c r="B77" t="inlineStr">
        <is>
          <t>Magic / Setting</t>
        </is>
      </c>
      <c r="C77" t="inlineStr">
        <is>
          <t>Magic</t>
        </is>
      </c>
      <c r="D77" t="n">
        <v>10</v>
      </c>
      <c r="E77" t="n">
        <v>14</v>
      </c>
      <c r="F77" t="inlineStr">
        <is>
          <t>M vs M</t>
        </is>
      </c>
      <c r="G77" t="inlineStr">
        <is>
          <t>Magic</t>
        </is>
      </c>
      <c r="H77" t="inlineStr">
        <is>
          <t>Magic</t>
        </is>
      </c>
      <c r="I77" t="inlineStr">
        <is>
          <t>1d8</t>
        </is>
      </c>
      <c r="J77" t="n">
        <v>1</v>
      </c>
      <c r="K77" t="n">
        <v>8</v>
      </c>
      <c r="L77" t="inlineStr">
        <is>
          <t>1d8</t>
        </is>
      </c>
      <c r="M77" t="n">
        <v>1</v>
      </c>
      <c r="N77" t="n">
        <v>8</v>
      </c>
      <c r="O77" t="inlineStr">
        <is>
          <t>Magic 4</t>
        </is>
      </c>
      <c r="P77" t="inlineStr">
        <is>
          <t>Magic</t>
        </is>
      </c>
      <c r="Q77" t="n">
        <v>4</v>
      </c>
      <c r="R77" t="inlineStr"/>
      <c r="S77" t="n">
        <v>0</v>
      </c>
      <c r="T77" t="inlineStr">
        <is>
          <t>Special</t>
        </is>
      </c>
      <c r="U77" t="inlineStr">
        <is>
          <t>Substratal seer-elemental. At start of each turn, the owner may force one rival to declare their action before declaring their own.</t>
        </is>
      </c>
    </row>
    <row r="78">
      <c r="A78" t="inlineStr">
        <is>
          <t>Olm Anatomist</t>
        </is>
      </c>
      <c r="B78" t="inlineStr">
        <is>
          <t>Magic / Setting</t>
        </is>
      </c>
      <c r="C78" t="inlineStr">
        <is>
          <t>Magic</t>
        </is>
      </c>
      <c r="D78" t="n">
        <v>8</v>
      </c>
      <c r="E78" t="n">
        <v>8</v>
      </c>
      <c r="F78" t="inlineStr">
        <is>
          <t>M vs F</t>
        </is>
      </c>
      <c r="G78" t="inlineStr">
        <is>
          <t>Magic</t>
        </is>
      </c>
      <c r="H78" t="inlineStr">
        <is>
          <t>Force</t>
        </is>
      </c>
      <c r="I78" t="inlineStr">
        <is>
          <t>2d4</t>
        </is>
      </c>
      <c r="J78" t="n">
        <v>2</v>
      </c>
      <c r="K78" t="n">
        <v>4</v>
      </c>
      <c r="L78" t="inlineStr">
        <is>
          <t>—</t>
        </is>
      </c>
      <c r="M78" t="n">
        <v>0</v>
      </c>
      <c r="N78" t="n">
        <v>0</v>
      </c>
      <c r="O78" t="inlineStr">
        <is>
          <t>Magic 3</t>
        </is>
      </c>
      <c r="P78" t="inlineStr">
        <is>
          <t>Magic</t>
        </is>
      </c>
      <c r="Q78" t="n">
        <v>3</v>
      </c>
      <c r="R78" t="inlineStr"/>
      <c r="S78" t="n">
        <v>0</v>
      </c>
      <c r="T78" t="inlineStr">
        <is>
          <t>Stealthed, Special</t>
        </is>
      </c>
      <c r="U78" t="inlineStr">
        <is>
          <t>Knower of unmaking-shapes. Deals double damage to any asset with HP 6 or less.</t>
        </is>
      </c>
    </row>
  </sheetData>
  <pageMargins left="0.75" right="0.75" top="1" bottom="1" header="0.5" footer="0.5"/>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20.xml><?xml version="1.0" encoding="utf-8"?>
<worksheet xmlns="http://schemas.openxmlformats.org/spreadsheetml/2006/main">
  <sheetPr>
    <tabColor rgb="008064A2"/>
    <outlinePr summaryBelow="1" summaryRight="1"/>
    <pageSetUpPr/>
  </sheetPr>
  <dimension ref="A1:N62"/>
  <sheetViews>
    <sheetView workbookViewId="0">
      <selection activeCell="A1" sqref="A1"/>
    </sheetView>
  </sheetViews>
  <sheetFormatPr baseColWidth="8" defaultRowHeight="15"/>
  <cols>
    <col width="5" customWidth="1" min="1" max="1"/>
    <col width="18" customWidth="1" min="2" max="2"/>
    <col width="28" customWidth="1" min="3" max="3"/>
    <col width="10" customWidth="1" min="4" max="4"/>
    <col width="26" customWidth="1" min="5" max="5"/>
    <col width="6" customWidth="1" min="6" max="6"/>
    <col width="8" customWidth="1" min="7" max="7"/>
    <col width="8" customWidth="1" min="8" max="8"/>
    <col width="12" customWidth="1" min="9" max="9"/>
    <col width="10" customWidth="1" min="10" max="10"/>
    <col width="10" customWidth="1" min="11" max="11"/>
    <col width="22" customWidth="1" min="12" max="12"/>
    <col width="12" customWidth="1" min="13" max="13"/>
    <col width="30" customWidth="1" min="14" max="14"/>
  </cols>
  <sheetData>
    <row r="1" ht="24" customHeight="1">
      <c r="A1" s="1" t="inlineStr">
        <is>
          <t>Asset Register — every asset, where it stands</t>
        </is>
      </c>
    </row>
    <row r="3">
      <c r="A3" s="16" t="inlineStr">
        <is>
          <t>ID</t>
        </is>
      </c>
      <c r="B3" s="16" t="inlineStr">
        <is>
          <t>Faction</t>
        </is>
      </c>
      <c r="C3" s="16" t="inlineStr">
        <is>
          <t>Asset</t>
        </is>
      </c>
      <c r="D3" s="16" t="inlineStr">
        <is>
          <t>Type</t>
        </is>
      </c>
      <c r="E3" s="16" t="inlineStr">
        <is>
          <t>Location</t>
        </is>
      </c>
      <c r="F3" s="16" t="inlineStr">
        <is>
          <t>Cost</t>
        </is>
      </c>
      <c r="G3" s="16" t="inlineStr">
        <is>
          <t>MaxHP</t>
        </is>
      </c>
      <c r="H3" s="16" t="inlineStr">
        <is>
          <t>CurHP</t>
        </is>
      </c>
      <c r="I3" s="16" t="inlineStr">
        <is>
          <t>Attack</t>
        </is>
      </c>
      <c r="J3" s="16" t="inlineStr">
        <is>
          <t>Damage</t>
        </is>
      </c>
      <c r="K3" s="16" t="inlineStr">
        <is>
          <t>Counter</t>
        </is>
      </c>
      <c r="L3" s="16" t="inlineStr">
        <is>
          <t>Traits</t>
        </is>
      </c>
      <c r="M3" s="16" t="inlineStr">
        <is>
          <t>Stealthed?</t>
        </is>
      </c>
      <c r="N3" s="16" t="inlineStr">
        <is>
          <t>Notes</t>
        </is>
      </c>
    </row>
    <row r="4">
      <c r="A4" s="5" t="n">
        <v>1</v>
      </c>
      <c r="B4" s="5" t="inlineStr">
        <is>
          <t>The Knotsmen</t>
        </is>
      </c>
      <c r="C4" s="5" t="inlineStr">
        <is>
          <t>Bonded Service</t>
        </is>
      </c>
      <c r="D4" s="5" t="inlineStr">
        <is>
          <t>Wealth</t>
        </is>
      </c>
      <c r="E4" s="5" t="inlineStr">
        <is>
          <t>Nox</t>
        </is>
      </c>
      <c r="F4" s="5" t="n">
        <v>6</v>
      </c>
      <c r="G4" s="5" t="n">
        <v>8</v>
      </c>
      <c r="H4" s="5" t="n">
        <v>8</v>
      </c>
      <c r="I4" s="5" t="inlineStr">
        <is>
          <t>W vs F</t>
        </is>
      </c>
      <c r="J4" s="5" t="inlineStr">
        <is>
          <t>1d8</t>
        </is>
      </c>
      <c r="K4" s="5" t="inlineStr">
        <is>
          <t>1d4</t>
        </is>
      </c>
      <c r="L4" s="5" t="inlineStr">
        <is>
          <t>—</t>
        </is>
      </c>
      <c r="M4" s="5" t="inlineStr"/>
      <c r="N4" s="5" t="inlineStr"/>
    </row>
    <row r="5">
      <c r="A5" s="6" t="n">
        <v>2</v>
      </c>
      <c r="B5" s="6" t="inlineStr">
        <is>
          <t>The Knotsmen</t>
        </is>
      </c>
      <c r="C5" s="6" t="inlineStr">
        <is>
          <t>Usurers</t>
        </is>
      </c>
      <c r="D5" s="6" t="inlineStr">
        <is>
          <t>Wealth</t>
        </is>
      </c>
      <c r="E5" s="6" t="inlineStr">
        <is>
          <t>Gordiam</t>
        </is>
      </c>
      <c r="F5" s="6" t="n">
        <v>4</v>
      </c>
      <c r="G5" s="6" t="n">
        <v>8</v>
      </c>
      <c r="H5" s="6" t="n">
        <v>8</v>
      </c>
      <c r="I5" s="6" t="inlineStr">
        <is>
          <t>W vs W</t>
        </is>
      </c>
      <c r="J5" s="6" t="inlineStr">
        <is>
          <t>1d10</t>
        </is>
      </c>
      <c r="K5" s="6" t="inlineStr">
        <is>
          <t>—</t>
        </is>
      </c>
      <c r="L5" s="6" t="inlineStr">
        <is>
          <t>Special</t>
        </is>
      </c>
      <c r="M5" s="6" t="inlineStr"/>
      <c r="N5" s="6" t="inlineStr"/>
    </row>
    <row r="6">
      <c r="A6" s="5" t="n">
        <v>3</v>
      </c>
      <c r="B6" s="5" t="inlineStr">
        <is>
          <t>The Knotsmen</t>
        </is>
      </c>
      <c r="C6" s="5" t="inlineStr">
        <is>
          <t>Pact-Vaults</t>
        </is>
      </c>
      <c r="D6" s="5" t="inlineStr">
        <is>
          <t>Wealth</t>
        </is>
      </c>
      <c r="E6" s="5" t="inlineStr">
        <is>
          <t>Gordiam</t>
        </is>
      </c>
      <c r="F6" s="5" t="n">
        <v>10</v>
      </c>
      <c r="G6" s="5" t="n">
        <v>10</v>
      </c>
      <c r="H6" s="5" t="n">
        <v>10</v>
      </c>
      <c r="I6" s="5" t="inlineStr">
        <is>
          <t>W vs W</t>
        </is>
      </c>
      <c r="J6" s="5" t="inlineStr">
        <is>
          <t>1d8</t>
        </is>
      </c>
      <c r="K6" s="5" t="inlineStr">
        <is>
          <t>1d4</t>
        </is>
      </c>
      <c r="L6" s="5" t="inlineStr">
        <is>
          <t>Special</t>
        </is>
      </c>
      <c r="M6" s="5" t="inlineStr"/>
      <c r="N6" s="5" t="inlineStr"/>
    </row>
    <row r="7">
      <c r="A7" s="6" t="n">
        <v>4</v>
      </c>
      <c r="B7" s="6" t="inlineStr">
        <is>
          <t>The Knotsmen</t>
        </is>
      </c>
      <c r="C7" s="6" t="inlineStr">
        <is>
          <t>Debt-Collectors</t>
        </is>
      </c>
      <c r="D7" s="6" t="inlineStr">
        <is>
          <t>Cunning</t>
        </is>
      </c>
      <c r="E7" s="6" t="inlineStr">
        <is>
          <t>Nox</t>
        </is>
      </c>
      <c r="F7" s="6" t="n">
        <v>5</v>
      </c>
      <c r="G7" s="6" t="n">
        <v>6</v>
      </c>
      <c r="H7" s="6" t="n">
        <v>6</v>
      </c>
      <c r="I7" s="6" t="inlineStr">
        <is>
          <t>C vs W</t>
        </is>
      </c>
      <c r="J7" s="6" t="inlineStr">
        <is>
          <t>1d8</t>
        </is>
      </c>
      <c r="K7" s="6" t="inlineStr">
        <is>
          <t>—</t>
        </is>
      </c>
      <c r="L7" s="6" t="inlineStr">
        <is>
          <t>Subtle</t>
        </is>
      </c>
      <c r="M7" s="6" t="inlineStr"/>
      <c r="N7" s="6" t="inlineStr"/>
    </row>
    <row r="8">
      <c r="A8" s="5" t="n">
        <v>5</v>
      </c>
      <c r="B8" s="5" t="inlineStr">
        <is>
          <t>The Knotsmen</t>
        </is>
      </c>
      <c r="C8" s="5" t="inlineStr">
        <is>
          <t>Demonic Notary</t>
        </is>
      </c>
      <c r="D8" s="5" t="inlineStr">
        <is>
          <t>Magic</t>
        </is>
      </c>
      <c r="E8" s="5" t="inlineStr">
        <is>
          <t>Gordiam</t>
        </is>
      </c>
      <c r="F8" s="5" t="n">
        <v>12</v>
      </c>
      <c r="G8" s="5" t="n">
        <v>10</v>
      </c>
      <c r="H8" s="5" t="n">
        <v>10</v>
      </c>
      <c r="I8" s="5" t="inlineStr">
        <is>
          <t>M vs M</t>
        </is>
      </c>
      <c r="J8" s="5" t="inlineStr">
        <is>
          <t>1d10</t>
        </is>
      </c>
      <c r="K8" s="5" t="inlineStr">
        <is>
          <t>1d6</t>
        </is>
      </c>
      <c r="L8" s="5" t="inlineStr">
        <is>
          <t>Subtle, Special</t>
        </is>
      </c>
      <c r="M8" s="5" t="inlineStr"/>
      <c r="N8" s="5" t="inlineStr"/>
    </row>
    <row r="9">
      <c r="A9" s="6" t="n">
        <v>6</v>
      </c>
      <c r="B9" s="6" t="inlineStr">
        <is>
          <t>The Knotsmen</t>
        </is>
      </c>
      <c r="C9" s="6" t="inlineStr">
        <is>
          <t>Mercenaries</t>
        </is>
      </c>
      <c r="D9" s="6" t="inlineStr">
        <is>
          <t>Force</t>
        </is>
      </c>
      <c r="E9" s="6" t="inlineStr">
        <is>
          <t>Gordiam</t>
        </is>
      </c>
      <c r="F9" s="6" t="n">
        <v>4</v>
      </c>
      <c r="G9" s="6" t="n">
        <v>6</v>
      </c>
      <c r="H9" s="6" t="n">
        <v>6</v>
      </c>
      <c r="I9" s="6" t="inlineStr">
        <is>
          <t>F vs F</t>
        </is>
      </c>
      <c r="J9" s="6" t="inlineStr">
        <is>
          <t>1d8</t>
        </is>
      </c>
      <c r="K9" s="6" t="inlineStr">
        <is>
          <t>1d6</t>
        </is>
      </c>
      <c r="L9" s="6" t="inlineStr">
        <is>
          <t>—</t>
        </is>
      </c>
      <c r="M9" s="6" t="inlineStr"/>
      <c r="N9" s="6" t="inlineStr"/>
    </row>
    <row r="10">
      <c r="A10" s="5" t="n">
        <v>7</v>
      </c>
      <c r="B10" s="5" t="inlineStr">
        <is>
          <t>The Knotsmen</t>
        </is>
      </c>
      <c r="C10" s="5" t="inlineStr">
        <is>
          <t>Saboteurs</t>
        </is>
      </c>
      <c r="D10" s="5" t="inlineStr">
        <is>
          <t>Cunning</t>
        </is>
      </c>
      <c r="E10" s="5" t="inlineStr">
        <is>
          <t>Comorragh</t>
        </is>
      </c>
      <c r="F10" s="5" t="n">
        <v>4</v>
      </c>
      <c r="G10" s="5" t="n">
        <v>6</v>
      </c>
      <c r="H10" s="5" t="n">
        <v>6</v>
      </c>
      <c r="I10" s="5" t="inlineStr">
        <is>
          <t>C vs W</t>
        </is>
      </c>
      <c r="J10" s="5" t="inlineStr">
        <is>
          <t>2d4</t>
        </is>
      </c>
      <c r="K10" s="5" t="inlineStr">
        <is>
          <t>—</t>
        </is>
      </c>
      <c r="L10" s="5" t="inlineStr">
        <is>
          <t>Subtle</t>
        </is>
      </c>
      <c r="M10" s="5" t="inlineStr"/>
      <c r="N10" s="5" t="inlineStr"/>
    </row>
    <row r="11">
      <c r="A11" s="6" t="n">
        <v>8</v>
      </c>
      <c r="B11" s="6" t="inlineStr">
        <is>
          <t>The Aelf-Adal</t>
        </is>
      </c>
      <c r="C11" s="6" t="inlineStr">
        <is>
          <t>Dream-Walkers</t>
        </is>
      </c>
      <c r="D11" s="6" t="inlineStr">
        <is>
          <t>Cunning</t>
        </is>
      </c>
      <c r="E11" s="6" t="inlineStr">
        <is>
          <t>Nox</t>
        </is>
      </c>
      <c r="F11" s="6" t="n">
        <v>6</v>
      </c>
      <c r="G11" s="6" t="n">
        <v>6</v>
      </c>
      <c r="H11" s="6" t="n">
        <v>6</v>
      </c>
      <c r="I11" s="6" t="inlineStr">
        <is>
          <t>C vs M</t>
        </is>
      </c>
      <c r="J11" s="6" t="inlineStr">
        <is>
          <t>1d8</t>
        </is>
      </c>
      <c r="K11" s="6" t="inlineStr">
        <is>
          <t>—</t>
        </is>
      </c>
      <c r="L11" s="6" t="inlineStr">
        <is>
          <t>Stealthed, Subtle</t>
        </is>
      </c>
      <c r="M11" s="6" t="inlineStr">
        <is>
          <t>Yes</t>
        </is>
      </c>
      <c r="N11" s="6" t="inlineStr"/>
    </row>
    <row r="12">
      <c r="A12" s="5" t="n">
        <v>9</v>
      </c>
      <c r="B12" s="5" t="inlineStr">
        <is>
          <t>The Aelf-Adal</t>
        </is>
      </c>
      <c r="C12" s="5" t="inlineStr">
        <is>
          <t>Assassins</t>
        </is>
      </c>
      <c r="D12" s="5" t="inlineStr">
        <is>
          <t>Cunning</t>
        </is>
      </c>
      <c r="E12" s="5" t="inlineStr">
        <is>
          <t>Celephais</t>
        </is>
      </c>
      <c r="F12" s="5" t="n">
        <v>6</v>
      </c>
      <c r="G12" s="5" t="n">
        <v>6</v>
      </c>
      <c r="H12" s="5" t="n">
        <v>6</v>
      </c>
      <c r="I12" s="5" t="inlineStr">
        <is>
          <t>C vs F</t>
        </is>
      </c>
      <c r="J12" s="5" t="inlineStr">
        <is>
          <t>1d10</t>
        </is>
      </c>
      <c r="K12" s="5" t="inlineStr">
        <is>
          <t>—</t>
        </is>
      </c>
      <c r="L12" s="5" t="inlineStr">
        <is>
          <t>Stealthed, Action</t>
        </is>
      </c>
      <c r="M12" s="5" t="inlineStr">
        <is>
          <t>Yes</t>
        </is>
      </c>
      <c r="N12" s="5" t="inlineStr"/>
    </row>
    <row r="13">
      <c r="A13" s="6" t="n">
        <v>10</v>
      </c>
      <c r="B13" s="6" t="inlineStr">
        <is>
          <t>The Aelf-Adal</t>
        </is>
      </c>
      <c r="C13" s="6" t="inlineStr">
        <is>
          <t>Cult Network</t>
        </is>
      </c>
      <c r="D13" s="6" t="inlineStr">
        <is>
          <t>Cunning</t>
        </is>
      </c>
      <c r="E13" s="6" t="inlineStr">
        <is>
          <t>Nox</t>
        </is>
      </c>
      <c r="F13" s="6" t="n">
        <v>8</v>
      </c>
      <c r="G13" s="6" t="n">
        <v>10</v>
      </c>
      <c r="H13" s="6" t="n">
        <v>10</v>
      </c>
      <c r="I13" s="6" t="inlineStr">
        <is>
          <t>C vs C</t>
        </is>
      </c>
      <c r="J13" s="6" t="inlineStr">
        <is>
          <t>1d10</t>
        </is>
      </c>
      <c r="K13" s="6" t="inlineStr">
        <is>
          <t>—</t>
        </is>
      </c>
      <c r="L13" s="6" t="inlineStr">
        <is>
          <t>Subtle, Special</t>
        </is>
      </c>
      <c r="M13" s="6" t="inlineStr"/>
      <c r="N13" s="6" t="inlineStr"/>
    </row>
    <row r="14">
      <c r="A14" s="5" t="n">
        <v>11</v>
      </c>
      <c r="B14" s="5" t="inlineStr">
        <is>
          <t>The Aelf-Adal</t>
        </is>
      </c>
      <c r="C14" s="5" t="inlineStr">
        <is>
          <t>Witch Coven</t>
        </is>
      </c>
      <c r="D14" s="5" t="inlineStr">
        <is>
          <t>Magic</t>
        </is>
      </c>
      <c r="E14" s="5" t="inlineStr">
        <is>
          <t>Celephais</t>
        </is>
      </c>
      <c r="F14" s="5" t="n">
        <v>8</v>
      </c>
      <c r="G14" s="5" t="n">
        <v>8</v>
      </c>
      <c r="H14" s="5" t="n">
        <v>8</v>
      </c>
      <c r="I14" s="5" t="inlineStr">
        <is>
          <t>M vs M</t>
        </is>
      </c>
      <c r="J14" s="5" t="inlineStr">
        <is>
          <t>1d8</t>
        </is>
      </c>
      <c r="K14" s="5" t="inlineStr">
        <is>
          <t>1d6</t>
        </is>
      </c>
      <c r="L14" s="5" t="inlineStr">
        <is>
          <t>—</t>
        </is>
      </c>
      <c r="M14" s="5" t="inlineStr"/>
      <c r="N14" s="5" t="inlineStr"/>
    </row>
    <row r="15">
      <c r="A15" s="6" t="n">
        <v>12</v>
      </c>
      <c r="B15" s="6" t="inlineStr">
        <is>
          <t>The Aelf-Adal</t>
        </is>
      </c>
      <c r="C15" s="6" t="inlineStr">
        <is>
          <t>Adept Order</t>
        </is>
      </c>
      <c r="D15" s="6" t="inlineStr">
        <is>
          <t>Magic</t>
        </is>
      </c>
      <c r="E15" s="6" t="inlineStr">
        <is>
          <t>Celephais</t>
        </is>
      </c>
      <c r="F15" s="6" t="n">
        <v>12</v>
      </c>
      <c r="G15" s="6" t="n">
        <v>12</v>
      </c>
      <c r="H15" s="6" t="n">
        <v>12</v>
      </c>
      <c r="I15" s="6" t="inlineStr">
        <is>
          <t>M vs M</t>
        </is>
      </c>
      <c r="J15" s="6" t="inlineStr">
        <is>
          <t>1d10</t>
        </is>
      </c>
      <c r="K15" s="6" t="inlineStr">
        <is>
          <t>1d6</t>
        </is>
      </c>
      <c r="L15" s="6" t="inlineStr">
        <is>
          <t>—</t>
        </is>
      </c>
      <c r="M15" s="6" t="inlineStr"/>
      <c r="N15" s="6" t="inlineStr"/>
    </row>
    <row r="16">
      <c r="A16" s="5" t="n">
        <v>13</v>
      </c>
      <c r="B16" s="5" t="inlineStr">
        <is>
          <t>The Aelf-Adal</t>
        </is>
      </c>
      <c r="C16" s="5" t="inlineStr">
        <is>
          <t>Dream-Knights of the Black Glass Court</t>
        </is>
      </c>
      <c r="D16" s="5" t="inlineStr">
        <is>
          <t>Force</t>
        </is>
      </c>
      <c r="E16" s="5" t="inlineStr">
        <is>
          <t>Celephais</t>
        </is>
      </c>
      <c r="F16" s="5" t="n">
        <v>14</v>
      </c>
      <c r="G16" s="5" t="n">
        <v>16</v>
      </c>
      <c r="H16" s="5" t="n">
        <v>16</v>
      </c>
      <c r="I16" s="5" t="inlineStr">
        <is>
          <t>F vs C</t>
        </is>
      </c>
      <c r="J16" s="5" t="inlineStr">
        <is>
          <t>2d6</t>
        </is>
      </c>
      <c r="K16" s="5" t="inlineStr">
        <is>
          <t>1d10</t>
        </is>
      </c>
      <c r="L16" s="5" t="inlineStr">
        <is>
          <t>—</t>
        </is>
      </c>
      <c r="M16" s="5" t="inlineStr"/>
      <c r="N16" s="5" t="inlineStr"/>
    </row>
    <row r="17">
      <c r="A17" s="6" t="n">
        <v>14</v>
      </c>
      <c r="B17" s="6" t="inlineStr">
        <is>
          <t>The Aelf-Adal</t>
        </is>
      </c>
      <c r="C17" s="6" t="inlineStr">
        <is>
          <t>Dream Anchor</t>
        </is>
      </c>
      <c r="D17" s="6" t="inlineStr">
        <is>
          <t>Magic</t>
        </is>
      </c>
      <c r="E17" s="6" t="inlineStr">
        <is>
          <t>Celephais</t>
        </is>
      </c>
      <c r="F17" s="6" t="n">
        <v>10</v>
      </c>
      <c r="G17" s="6" t="n">
        <v>14</v>
      </c>
      <c r="H17" s="6" t="n">
        <v>14</v>
      </c>
      <c r="I17" s="6" t="inlineStr">
        <is>
          <t>M vs M</t>
        </is>
      </c>
      <c r="J17" s="6" t="inlineStr">
        <is>
          <t>1d6</t>
        </is>
      </c>
      <c r="K17" s="6" t="inlineStr">
        <is>
          <t>1d8</t>
        </is>
      </c>
      <c r="L17" s="6" t="inlineStr">
        <is>
          <t>Special</t>
        </is>
      </c>
      <c r="M17" s="6" t="inlineStr"/>
      <c r="N17" s="6" t="inlineStr"/>
    </row>
    <row r="18">
      <c r="A18" s="5" t="n">
        <v>15</v>
      </c>
      <c r="B18" s="5" t="inlineStr">
        <is>
          <t>The Funginids</t>
        </is>
      </c>
      <c r="C18" s="5" t="inlineStr">
        <is>
          <t>Cult Network</t>
        </is>
      </c>
      <c r="D18" s="5" t="inlineStr">
        <is>
          <t>Cunning</t>
        </is>
      </c>
      <c r="E18" s="5" t="inlineStr">
        <is>
          <t>Nox</t>
        </is>
      </c>
      <c r="F18" s="5" t="n">
        <v>8</v>
      </c>
      <c r="G18" s="5" t="n">
        <v>10</v>
      </c>
      <c r="H18" s="5" t="n">
        <v>10</v>
      </c>
      <c r="I18" s="5" t="inlineStr">
        <is>
          <t>C vs C</t>
        </is>
      </c>
      <c r="J18" s="5" t="inlineStr">
        <is>
          <t>1d10</t>
        </is>
      </c>
      <c r="K18" s="5" t="inlineStr">
        <is>
          <t>—</t>
        </is>
      </c>
      <c r="L18" s="5" t="inlineStr">
        <is>
          <t>Subtle, Special</t>
        </is>
      </c>
      <c r="M18" s="5" t="inlineStr"/>
      <c r="N18" s="5" t="inlineStr"/>
    </row>
    <row r="19">
      <c r="A19" s="6" t="n">
        <v>16</v>
      </c>
      <c r="B19" s="6" t="inlineStr">
        <is>
          <t>The Funginids</t>
        </is>
      </c>
      <c r="C19" s="6" t="inlineStr">
        <is>
          <t>Spore-Wreaths</t>
        </is>
      </c>
      <c r="D19" s="6" t="inlineStr">
        <is>
          <t>Cunning</t>
        </is>
      </c>
      <c r="E19" s="6" t="inlineStr">
        <is>
          <t>Nox</t>
        </is>
      </c>
      <c r="F19" s="6" t="n">
        <v>4</v>
      </c>
      <c r="G19" s="6" t="n">
        <v>6</v>
      </c>
      <c r="H19" s="6" t="n">
        <v>6</v>
      </c>
      <c r="I19" s="6" t="inlineStr">
        <is>
          <t>C vs C</t>
        </is>
      </c>
      <c r="J19" s="6" t="inlineStr">
        <is>
          <t>1d6</t>
        </is>
      </c>
      <c r="K19" s="6" t="inlineStr">
        <is>
          <t>—</t>
        </is>
      </c>
      <c r="L19" s="6" t="inlineStr">
        <is>
          <t>Stealthed, Subtle</t>
        </is>
      </c>
      <c r="M19" s="6" t="inlineStr">
        <is>
          <t>Yes</t>
        </is>
      </c>
      <c r="N19" s="6" t="inlineStr"/>
    </row>
    <row r="20">
      <c r="A20" s="5" t="n">
        <v>17</v>
      </c>
      <c r="B20" s="5" t="inlineStr">
        <is>
          <t>The Funginids</t>
        </is>
      </c>
      <c r="C20" s="5" t="inlineStr">
        <is>
          <t>Spore-Maddened Slaves</t>
        </is>
      </c>
      <c r="D20" s="5" t="inlineStr">
        <is>
          <t>Force</t>
        </is>
      </c>
      <c r="E20" s="5" t="inlineStr">
        <is>
          <t>Genet</t>
        </is>
      </c>
      <c r="F20" s="5" t="n">
        <v>3</v>
      </c>
      <c r="G20" s="5" t="n">
        <v>8</v>
      </c>
      <c r="H20" s="5" t="n">
        <v>8</v>
      </c>
      <c r="I20" s="5" t="inlineStr">
        <is>
          <t>F vs F</t>
        </is>
      </c>
      <c r="J20" s="5" t="inlineStr">
        <is>
          <t>1d6</t>
        </is>
      </c>
      <c r="K20" s="5" t="inlineStr">
        <is>
          <t>—</t>
        </is>
      </c>
      <c r="L20" s="5" t="inlineStr">
        <is>
          <t>Fanatic</t>
        </is>
      </c>
      <c r="M20" s="5" t="inlineStr"/>
      <c r="N20" s="5" t="inlineStr"/>
    </row>
    <row r="21">
      <c r="A21" s="6" t="n">
        <v>18</v>
      </c>
      <c r="B21" s="6" t="inlineStr">
        <is>
          <t>The Funginids</t>
        </is>
      </c>
      <c r="C21" s="6" t="inlineStr">
        <is>
          <t>Spore-Cathedral Choir</t>
        </is>
      </c>
      <c r="D21" s="6" t="inlineStr">
        <is>
          <t>Magic</t>
        </is>
      </c>
      <c r="E21" s="6" t="inlineStr">
        <is>
          <t>Genet</t>
        </is>
      </c>
      <c r="F21" s="6" t="n">
        <v>8</v>
      </c>
      <c r="G21" s="6" t="n">
        <v>10</v>
      </c>
      <c r="H21" s="6" t="n">
        <v>10</v>
      </c>
      <c r="I21" s="6" t="inlineStr">
        <is>
          <t>M vs M</t>
        </is>
      </c>
      <c r="J21" s="6" t="inlineStr">
        <is>
          <t>1d8</t>
        </is>
      </c>
      <c r="K21" s="6" t="inlineStr">
        <is>
          <t>1d6</t>
        </is>
      </c>
      <c r="L21" s="6" t="inlineStr">
        <is>
          <t>Special</t>
        </is>
      </c>
      <c r="M21" s="6" t="inlineStr"/>
      <c r="N21" s="6" t="inlineStr"/>
    </row>
    <row r="22">
      <c r="A22" s="5" t="n">
        <v>19</v>
      </c>
      <c r="B22" s="5" t="inlineStr">
        <is>
          <t>The Funginids</t>
        </is>
      </c>
      <c r="C22" s="5" t="inlineStr">
        <is>
          <t>Death Cult</t>
        </is>
      </c>
      <c r="D22" s="5" t="inlineStr">
        <is>
          <t>Magic</t>
        </is>
      </c>
      <c r="E22" s="5" t="inlineStr">
        <is>
          <t>Genet</t>
        </is>
      </c>
      <c r="F22" s="5" t="n">
        <v>6</v>
      </c>
      <c r="G22" s="5" t="n">
        <v>8</v>
      </c>
      <c r="H22" s="5" t="n">
        <v>8</v>
      </c>
      <c r="I22" s="5" t="inlineStr">
        <is>
          <t>M vs C</t>
        </is>
      </c>
      <c r="J22" s="5" t="inlineStr">
        <is>
          <t>1d6</t>
        </is>
      </c>
      <c r="K22" s="5" t="inlineStr">
        <is>
          <t>1d4</t>
        </is>
      </c>
      <c r="L22" s="5" t="inlineStr">
        <is>
          <t>Subtle</t>
        </is>
      </c>
      <c r="M22" s="5" t="inlineStr"/>
      <c r="N22" s="5" t="inlineStr"/>
    </row>
    <row r="23">
      <c r="A23" s="6" t="n">
        <v>20</v>
      </c>
      <c r="B23" s="6" t="inlineStr">
        <is>
          <t>The Funginids</t>
        </is>
      </c>
      <c r="C23" s="6" t="inlineStr">
        <is>
          <t>Hedge Mages</t>
        </is>
      </c>
      <c r="D23" s="6" t="inlineStr">
        <is>
          <t>Magic</t>
        </is>
      </c>
      <c r="E23" s="6" t="inlineStr">
        <is>
          <t>Genet</t>
        </is>
      </c>
      <c r="F23" s="6" t="n">
        <v>4</v>
      </c>
      <c r="G23" s="6" t="n">
        <v>6</v>
      </c>
      <c r="H23" s="6" t="n">
        <v>6</v>
      </c>
      <c r="I23" s="6" t="inlineStr">
        <is>
          <t>M vs M</t>
        </is>
      </c>
      <c r="J23" s="6" t="inlineStr">
        <is>
          <t>1d6</t>
        </is>
      </c>
      <c r="K23" s="6" t="inlineStr">
        <is>
          <t>1d4</t>
        </is>
      </c>
      <c r="L23" s="6" t="inlineStr">
        <is>
          <t>—</t>
        </is>
      </c>
      <c r="M23" s="6" t="inlineStr"/>
      <c r="N23" s="6" t="inlineStr"/>
    </row>
    <row r="24">
      <c r="A24" s="5" t="n">
        <v>21</v>
      </c>
      <c r="B24" s="5" t="inlineStr">
        <is>
          <t>The dErO</t>
        </is>
      </c>
      <c r="C24" s="5" t="inlineStr">
        <is>
          <t>Eyes Everywhere</t>
        </is>
      </c>
      <c r="D24" s="5" t="inlineStr">
        <is>
          <t>Cunning</t>
        </is>
      </c>
      <c r="E24" s="5" t="inlineStr">
        <is>
          <t>Nox</t>
        </is>
      </c>
      <c r="F24" s="5" t="n">
        <v>8</v>
      </c>
      <c r="G24" s="5" t="n">
        <v>10</v>
      </c>
      <c r="H24" s="5" t="n">
        <v>10</v>
      </c>
      <c r="I24" s="5" t="inlineStr">
        <is>
          <t>C vs C</t>
        </is>
      </c>
      <c r="J24" s="5" t="inlineStr">
        <is>
          <t>1d8</t>
        </is>
      </c>
      <c r="K24" s="5" t="inlineStr">
        <is>
          <t>1d4</t>
        </is>
      </c>
      <c r="L24" s="5" t="inlineStr">
        <is>
          <t>Stealthed</t>
        </is>
      </c>
      <c r="M24" s="5" t="inlineStr">
        <is>
          <t>Yes</t>
        </is>
      </c>
      <c r="N24" s="5" t="inlineStr"/>
    </row>
    <row r="25">
      <c r="A25" s="6" t="n">
        <v>22</v>
      </c>
      <c r="B25" s="6" t="inlineStr">
        <is>
          <t>The dErO</t>
        </is>
      </c>
      <c r="C25" s="6" t="inlineStr">
        <is>
          <t>Crystal Mines</t>
        </is>
      </c>
      <c r="D25" s="6" t="inlineStr">
        <is>
          <t>Wealth</t>
        </is>
      </c>
      <c r="E25" s="6" t="inlineStr">
        <is>
          <t>Isles of the Imprisoned Moon</t>
        </is>
      </c>
      <c r="F25" s="6" t="n">
        <v>6</v>
      </c>
      <c r="G25" s="6" t="n">
        <v>10</v>
      </c>
      <c r="H25" s="6" t="n">
        <v>10</v>
      </c>
      <c r="I25" s="6" t="inlineStr">
        <is>
          <t>W vs F</t>
        </is>
      </c>
      <c r="J25" s="6" t="inlineStr">
        <is>
          <t>1d6</t>
        </is>
      </c>
      <c r="K25" s="6" t="inlineStr">
        <is>
          <t>1d6</t>
        </is>
      </c>
      <c r="L25" s="6" t="inlineStr">
        <is>
          <t>Special</t>
        </is>
      </c>
      <c r="M25" s="6" t="inlineStr"/>
      <c r="N25" s="6" t="inlineStr"/>
    </row>
    <row r="26">
      <c r="A26" s="5" t="n">
        <v>23</v>
      </c>
      <c r="B26" s="5" t="inlineStr">
        <is>
          <t>The dErO</t>
        </is>
      </c>
      <c r="C26" s="5" t="inlineStr">
        <is>
          <t>Crystal Lancers</t>
        </is>
      </c>
      <c r="D26" s="5" t="inlineStr">
        <is>
          <t>Force</t>
        </is>
      </c>
      <c r="E26" s="5" t="inlineStr">
        <is>
          <t>Isles of the Imprisoned Moon</t>
        </is>
      </c>
      <c r="F26" s="5" t="n">
        <v>8</v>
      </c>
      <c r="G26" s="5" t="n">
        <v>8</v>
      </c>
      <c r="H26" s="5" t="n">
        <v>8</v>
      </c>
      <c r="I26" s="5" t="inlineStr">
        <is>
          <t>F vs M</t>
        </is>
      </c>
      <c r="J26" s="5" t="inlineStr">
        <is>
          <t>1d10</t>
        </is>
      </c>
      <c r="K26" s="5" t="inlineStr">
        <is>
          <t>1d6</t>
        </is>
      </c>
      <c r="L26" s="5" t="inlineStr">
        <is>
          <t>Special</t>
        </is>
      </c>
      <c r="M26" s="5" t="inlineStr"/>
      <c r="N26" s="5" t="inlineStr"/>
    </row>
    <row r="27">
      <c r="A27" s="6" t="n">
        <v>24</v>
      </c>
      <c r="B27" s="6" t="inlineStr">
        <is>
          <t>The dErO</t>
        </is>
      </c>
      <c r="C27" s="6" t="inlineStr">
        <is>
          <t>Bribed Officials</t>
        </is>
      </c>
      <c r="D27" s="6" t="inlineStr">
        <is>
          <t>Cunning</t>
        </is>
      </c>
      <c r="E27" s="6" t="inlineStr">
        <is>
          <t>Nox</t>
        </is>
      </c>
      <c r="F27" s="6" t="n">
        <v>6</v>
      </c>
      <c r="G27" s="6" t="n">
        <v>8</v>
      </c>
      <c r="H27" s="6" t="n">
        <v>8</v>
      </c>
      <c r="I27" s="6" t="inlineStr">
        <is>
          <t>C vs C</t>
        </is>
      </c>
      <c r="J27" s="6" t="inlineStr">
        <is>
          <t>1d6</t>
        </is>
      </c>
      <c r="K27" s="6" t="inlineStr">
        <is>
          <t>—</t>
        </is>
      </c>
      <c r="L27" s="6" t="inlineStr">
        <is>
          <t>Subtle, Special</t>
        </is>
      </c>
      <c r="M27" s="6" t="inlineStr"/>
      <c r="N27" s="6" t="inlineStr"/>
    </row>
    <row r="28">
      <c r="A28" s="5" t="n">
        <v>25</v>
      </c>
      <c r="B28" s="5" t="inlineStr">
        <is>
          <t>The dErO</t>
        </is>
      </c>
      <c r="C28" s="5" t="inlineStr">
        <is>
          <t>Demonologists</t>
        </is>
      </c>
      <c r="D28" s="5" t="inlineStr">
        <is>
          <t>Magic</t>
        </is>
      </c>
      <c r="E28" s="5" t="inlineStr">
        <is>
          <t>Isles of the Imprisoned Moon</t>
        </is>
      </c>
      <c r="F28" s="5" t="n">
        <v>10</v>
      </c>
      <c r="G28" s="5" t="n">
        <v>8</v>
      </c>
      <c r="H28" s="5" t="n">
        <v>8</v>
      </c>
      <c r="I28" s="5" t="inlineStr">
        <is>
          <t>M vs M</t>
        </is>
      </c>
      <c r="J28" s="5" t="inlineStr">
        <is>
          <t>1d10</t>
        </is>
      </c>
      <c r="K28" s="5" t="inlineStr">
        <is>
          <t>1d4</t>
        </is>
      </c>
      <c r="L28" s="5" t="inlineStr">
        <is>
          <t>Subtle</t>
        </is>
      </c>
      <c r="M28" s="5" t="inlineStr"/>
      <c r="N28" s="5" t="inlineStr"/>
    </row>
    <row r="29">
      <c r="A29" s="6" t="n">
        <v>26</v>
      </c>
      <c r="B29" s="6" t="inlineStr">
        <is>
          <t>The dErO</t>
        </is>
      </c>
      <c r="C29" s="6" t="inlineStr">
        <is>
          <t>Magic Workshop</t>
        </is>
      </c>
      <c r="D29" s="6" t="inlineStr">
        <is>
          <t>Magic</t>
        </is>
      </c>
      <c r="E29" s="6" t="inlineStr">
        <is>
          <t>Isles of the Imprisoned Moon</t>
        </is>
      </c>
      <c r="F29" s="6" t="n">
        <v>8</v>
      </c>
      <c r="G29" s="6" t="n">
        <v>10</v>
      </c>
      <c r="H29" s="6" t="n">
        <v>10</v>
      </c>
      <c r="I29" s="6" t="inlineStr">
        <is>
          <t>—</t>
        </is>
      </c>
      <c r="J29" s="6" t="inlineStr">
        <is>
          <t>—</t>
        </is>
      </c>
      <c r="K29" s="6" t="inlineStr">
        <is>
          <t>—</t>
        </is>
      </c>
      <c r="L29" s="6" t="inlineStr">
        <is>
          <t>Special</t>
        </is>
      </c>
      <c r="M29" s="6" t="inlineStr"/>
      <c r="N29" s="6" t="inlineStr"/>
    </row>
    <row r="30">
      <c r="A30" s="5" t="n">
        <v>27</v>
      </c>
      <c r="B30" s="5" t="inlineStr">
        <is>
          <t>The dErO</t>
        </is>
      </c>
      <c r="C30" s="5" t="inlineStr">
        <is>
          <t>Whisper Network</t>
        </is>
      </c>
      <c r="D30" s="5" t="inlineStr">
        <is>
          <t>Cunning</t>
        </is>
      </c>
      <c r="E30" s="5" t="inlineStr">
        <is>
          <t>Nox</t>
        </is>
      </c>
      <c r="F30" s="5" t="n">
        <v>4</v>
      </c>
      <c r="G30" s="5" t="n">
        <v>6</v>
      </c>
      <c r="H30" s="5" t="n">
        <v>6</v>
      </c>
      <c r="I30" s="5" t="inlineStr">
        <is>
          <t>C vs C</t>
        </is>
      </c>
      <c r="J30" s="5" t="inlineStr">
        <is>
          <t>1d6</t>
        </is>
      </c>
      <c r="K30" s="5" t="inlineStr">
        <is>
          <t>1d4</t>
        </is>
      </c>
      <c r="L30" s="5" t="inlineStr">
        <is>
          <t>Subtle</t>
        </is>
      </c>
      <c r="M30" s="5" t="inlineStr"/>
      <c r="N30" s="5" t="inlineStr"/>
    </row>
    <row r="31">
      <c r="A31" s="6" t="n">
        <v>28</v>
      </c>
      <c r="B31" s="6" t="inlineStr">
        <is>
          <t>The Dvargir</t>
        </is>
      </c>
      <c r="C31" s="6" t="inlineStr">
        <is>
          <t>Heavy Infantry</t>
        </is>
      </c>
      <c r="D31" s="6" t="inlineStr">
        <is>
          <t>Force</t>
        </is>
      </c>
      <c r="E31" s="6" t="inlineStr">
        <is>
          <t>Comorragh</t>
        </is>
      </c>
      <c r="F31" s="6" t="n">
        <v>6</v>
      </c>
      <c r="G31" s="6" t="n">
        <v>10</v>
      </c>
      <c r="H31" s="6" t="n">
        <v>10</v>
      </c>
      <c r="I31" s="6" t="inlineStr">
        <is>
          <t>F vs F</t>
        </is>
      </c>
      <c r="J31" s="6" t="inlineStr">
        <is>
          <t>1d10</t>
        </is>
      </c>
      <c r="K31" s="6" t="inlineStr">
        <is>
          <t>1d8</t>
        </is>
      </c>
      <c r="L31" s="6" t="inlineStr">
        <is>
          <t>—</t>
        </is>
      </c>
      <c r="M31" s="6" t="inlineStr"/>
      <c r="N31" s="6" t="inlineStr"/>
    </row>
    <row r="32">
      <c r="A32" s="5" t="n">
        <v>29</v>
      </c>
      <c r="B32" s="5" t="inlineStr">
        <is>
          <t>The Dvargir</t>
        </is>
      </c>
      <c r="C32" s="5" t="inlineStr">
        <is>
          <t>Workshops</t>
        </is>
      </c>
      <c r="D32" s="5" t="inlineStr">
        <is>
          <t>Wealth</t>
        </is>
      </c>
      <c r="E32" s="5" t="inlineStr">
        <is>
          <t>Comorragh</t>
        </is>
      </c>
      <c r="F32" s="5" t="n">
        <v>4</v>
      </c>
      <c r="G32" s="5" t="n">
        <v>6</v>
      </c>
      <c r="H32" s="5" t="n">
        <v>6</v>
      </c>
      <c r="I32" s="5" t="inlineStr">
        <is>
          <t>—</t>
        </is>
      </c>
      <c r="J32" s="5" t="inlineStr">
        <is>
          <t>—</t>
        </is>
      </c>
      <c r="K32" s="5" t="inlineStr">
        <is>
          <t>—</t>
        </is>
      </c>
      <c r="L32" s="5" t="inlineStr">
        <is>
          <t>Special</t>
        </is>
      </c>
      <c r="M32" s="5" t="inlineStr"/>
      <c r="N32" s="5" t="inlineStr"/>
    </row>
    <row r="33">
      <c r="A33" s="6" t="n">
        <v>30</v>
      </c>
      <c r="B33" s="6" t="inlineStr">
        <is>
          <t>The Dvargir</t>
        </is>
      </c>
      <c r="C33" s="6" t="inlineStr">
        <is>
          <t>Smiths</t>
        </is>
      </c>
      <c r="D33" s="6" t="inlineStr">
        <is>
          <t>Wealth</t>
        </is>
      </c>
      <c r="E33" s="6" t="inlineStr">
        <is>
          <t>Comorragh</t>
        </is>
      </c>
      <c r="F33" s="6" t="n">
        <v>2</v>
      </c>
      <c r="G33" s="6" t="n">
        <v>6</v>
      </c>
      <c r="H33" s="6" t="n">
        <v>6</v>
      </c>
      <c r="I33" s="6" t="inlineStr">
        <is>
          <t>W vs F</t>
        </is>
      </c>
      <c r="J33" s="6" t="inlineStr">
        <is>
          <t>1d6</t>
        </is>
      </c>
      <c r="K33" s="6" t="inlineStr">
        <is>
          <t>1d4</t>
        </is>
      </c>
      <c r="L33" s="6" t="inlineStr">
        <is>
          <t>—</t>
        </is>
      </c>
      <c r="M33" s="6" t="inlineStr"/>
      <c r="N33" s="6" t="inlineStr"/>
    </row>
    <row r="34">
      <c r="A34" s="5" t="n">
        <v>31</v>
      </c>
      <c r="B34" s="5" t="inlineStr">
        <is>
          <t>The Dvargir</t>
        </is>
      </c>
      <c r="C34" s="5" t="inlineStr">
        <is>
          <t>Slavers</t>
        </is>
      </c>
      <c r="D34" s="5" t="inlineStr">
        <is>
          <t>Wealth</t>
        </is>
      </c>
      <c r="E34" s="5" t="inlineStr">
        <is>
          <t>Nox</t>
        </is>
      </c>
      <c r="F34" s="5" t="n">
        <v>6</v>
      </c>
      <c r="G34" s="5" t="n">
        <v>8</v>
      </c>
      <c r="H34" s="5" t="n">
        <v>8</v>
      </c>
      <c r="I34" s="5" t="inlineStr">
        <is>
          <t>W vs F</t>
        </is>
      </c>
      <c r="J34" s="5" t="inlineStr">
        <is>
          <t>1d8</t>
        </is>
      </c>
      <c r="K34" s="5" t="inlineStr">
        <is>
          <t>1d4</t>
        </is>
      </c>
      <c r="L34" s="5" t="inlineStr">
        <is>
          <t>—</t>
        </is>
      </c>
      <c r="M34" s="5" t="inlineStr"/>
      <c r="N34" s="5" t="inlineStr"/>
    </row>
    <row r="35">
      <c r="A35" s="6" t="n">
        <v>32</v>
      </c>
      <c r="B35" s="6" t="inlineStr">
        <is>
          <t>The Dvargir</t>
        </is>
      </c>
      <c r="C35" s="6" t="inlineStr">
        <is>
          <t>Armoury</t>
        </is>
      </c>
      <c r="D35" s="6" t="inlineStr">
        <is>
          <t>Force</t>
        </is>
      </c>
      <c r="E35" s="6" t="inlineStr">
        <is>
          <t>Comorragh</t>
        </is>
      </c>
      <c r="F35" s="6" t="n">
        <v>4</v>
      </c>
      <c r="G35" s="6" t="n">
        <v>6</v>
      </c>
      <c r="H35" s="6" t="n">
        <v>6</v>
      </c>
      <c r="I35" s="6" t="inlineStr">
        <is>
          <t>—</t>
        </is>
      </c>
      <c r="J35" s="6" t="inlineStr">
        <is>
          <t>—</t>
        </is>
      </c>
      <c r="K35" s="6" t="inlineStr">
        <is>
          <t>—</t>
        </is>
      </c>
      <c r="L35" s="6" t="inlineStr">
        <is>
          <t>Special</t>
        </is>
      </c>
      <c r="M35" s="6" t="inlineStr"/>
      <c r="N35" s="6" t="inlineStr"/>
    </row>
    <row r="36">
      <c r="A36" s="5" t="n">
        <v>33</v>
      </c>
      <c r="B36" s="5" t="inlineStr">
        <is>
          <t>The Dvargir</t>
        </is>
      </c>
      <c r="C36" s="5" t="inlineStr">
        <is>
          <t>Citadel</t>
        </is>
      </c>
      <c r="D36" s="5" t="inlineStr">
        <is>
          <t>Force</t>
        </is>
      </c>
      <c r="E36" s="5" t="inlineStr">
        <is>
          <t>Comorragh</t>
        </is>
      </c>
      <c r="F36" s="5" t="n">
        <v>12</v>
      </c>
      <c r="G36" s="5" t="n">
        <v>30</v>
      </c>
      <c r="H36" s="5" t="n">
        <v>30</v>
      </c>
      <c r="I36" s="5" t="inlineStr">
        <is>
          <t>—</t>
        </is>
      </c>
      <c r="J36" s="5" t="inlineStr">
        <is>
          <t>—</t>
        </is>
      </c>
      <c r="K36" s="5" t="inlineStr">
        <is>
          <t>1d10</t>
        </is>
      </c>
      <c r="L36" s="5" t="inlineStr">
        <is>
          <t>Action</t>
        </is>
      </c>
      <c r="M36" s="5" t="inlineStr"/>
      <c r="N36" s="5" t="inlineStr"/>
    </row>
    <row r="37">
      <c r="A37" s="6" t="n">
        <v>34</v>
      </c>
      <c r="B37" s="6" t="inlineStr">
        <is>
          <t>The Dvargir</t>
        </is>
      </c>
      <c r="C37" s="6" t="inlineStr">
        <is>
          <t>Tax Collectors</t>
        </is>
      </c>
      <c r="D37" s="6" t="inlineStr">
        <is>
          <t>Wealth</t>
        </is>
      </c>
      <c r="E37" s="6" t="inlineStr">
        <is>
          <t>Nox</t>
        </is>
      </c>
      <c r="F37" s="6" t="n">
        <v>8</v>
      </c>
      <c r="G37" s="6" t="n">
        <v>10</v>
      </c>
      <c r="H37" s="6" t="n">
        <v>10</v>
      </c>
      <c r="I37" s="6" t="inlineStr">
        <is>
          <t>W vs W</t>
        </is>
      </c>
      <c r="J37" s="6" t="inlineStr">
        <is>
          <t>1d8</t>
        </is>
      </c>
      <c r="K37" s="6" t="inlineStr">
        <is>
          <t>1d4</t>
        </is>
      </c>
      <c r="L37" s="6" t="inlineStr">
        <is>
          <t>Special</t>
        </is>
      </c>
      <c r="M37" s="6" t="inlineStr"/>
      <c r="N37" s="6" t="inlineStr"/>
    </row>
    <row r="38">
      <c r="A38" s="5" t="n">
        <v>35</v>
      </c>
      <c r="B38" s="5" t="inlineStr">
        <is>
          <t>The Gnonmen</t>
        </is>
      </c>
      <c r="C38" s="5" t="inlineStr">
        <is>
          <t>Lantern Wardens</t>
        </is>
      </c>
      <c r="D38" s="5" t="inlineStr">
        <is>
          <t>Force</t>
        </is>
      </c>
      <c r="E38" s="5" t="inlineStr">
        <is>
          <t>Heliotropolis</t>
        </is>
      </c>
      <c r="F38" s="5" t="n">
        <v>5</v>
      </c>
      <c r="G38" s="5" t="n">
        <v>8</v>
      </c>
      <c r="H38" s="5" t="n">
        <v>8</v>
      </c>
      <c r="I38" s="5" t="inlineStr">
        <is>
          <t>F vs M</t>
        </is>
      </c>
      <c r="J38" s="5" t="inlineStr">
        <is>
          <t>1d8</t>
        </is>
      </c>
      <c r="K38" s="5" t="inlineStr">
        <is>
          <t>1d4</t>
        </is>
      </c>
      <c r="L38" s="5" t="inlineStr">
        <is>
          <t>Special</t>
        </is>
      </c>
      <c r="M38" s="5" t="inlineStr"/>
      <c r="N38" s="5" t="inlineStr"/>
    </row>
    <row r="39">
      <c r="A39" s="6" t="n">
        <v>36</v>
      </c>
      <c r="B39" s="6" t="inlineStr">
        <is>
          <t>The Gnonmen</t>
        </is>
      </c>
      <c r="C39" s="6" t="inlineStr">
        <is>
          <t>Tunnel Crawlers</t>
        </is>
      </c>
      <c r="D39" s="6" t="inlineStr">
        <is>
          <t>Force</t>
        </is>
      </c>
      <c r="E39" s="6" t="inlineStr">
        <is>
          <t>Nox</t>
        </is>
      </c>
      <c r="F39" s="6" t="n">
        <v>3</v>
      </c>
      <c r="G39" s="6" t="n">
        <v>6</v>
      </c>
      <c r="H39" s="6" t="n">
        <v>6</v>
      </c>
      <c r="I39" s="6" t="inlineStr">
        <is>
          <t>F vs F</t>
        </is>
      </c>
      <c r="J39" s="6" t="inlineStr">
        <is>
          <t>1d6</t>
        </is>
      </c>
      <c r="K39" s="6" t="inlineStr">
        <is>
          <t>1d4</t>
        </is>
      </c>
      <c r="L39" s="6" t="inlineStr">
        <is>
          <t>Mobile</t>
        </is>
      </c>
      <c r="M39" s="6" t="inlineStr"/>
      <c r="N39" s="6" t="inlineStr"/>
    </row>
    <row r="40">
      <c r="A40" s="5" t="n">
        <v>37</v>
      </c>
      <c r="B40" s="5" t="inlineStr">
        <is>
          <t>The Gnonmen</t>
        </is>
      </c>
      <c r="C40" s="5" t="inlineStr">
        <is>
          <t>Spirit Walkers</t>
        </is>
      </c>
      <c r="D40" s="5" t="inlineStr">
        <is>
          <t>Magic</t>
        </is>
      </c>
      <c r="E40" s="5" t="inlineStr">
        <is>
          <t>Heliotropolis</t>
        </is>
      </c>
      <c r="F40" s="5" t="n">
        <v>6</v>
      </c>
      <c r="G40" s="5" t="n">
        <v>6</v>
      </c>
      <c r="H40" s="5" t="n">
        <v>6</v>
      </c>
      <c r="I40" s="5" t="inlineStr">
        <is>
          <t>M vs C</t>
        </is>
      </c>
      <c r="J40" s="5" t="inlineStr">
        <is>
          <t>1d6</t>
        </is>
      </c>
      <c r="K40" s="5" t="inlineStr">
        <is>
          <t>—</t>
        </is>
      </c>
      <c r="L40" s="5" t="inlineStr">
        <is>
          <t>Stealthed, Subtle</t>
        </is>
      </c>
      <c r="M40" s="5" t="inlineStr">
        <is>
          <t>Yes</t>
        </is>
      </c>
      <c r="N40" s="5" t="inlineStr"/>
    </row>
    <row r="41">
      <c r="A41" s="6" t="n">
        <v>38</v>
      </c>
      <c r="B41" s="6" t="inlineStr">
        <is>
          <t>The Gnonmen</t>
        </is>
      </c>
      <c r="C41" s="6" t="inlineStr">
        <is>
          <t>Mushroom Fields</t>
        </is>
      </c>
      <c r="D41" s="6" t="inlineStr">
        <is>
          <t>Wealth</t>
        </is>
      </c>
      <c r="E41" s="6" t="inlineStr">
        <is>
          <t>Heliotropolis</t>
        </is>
      </c>
      <c r="F41" s="6" t="n">
        <v>2</v>
      </c>
      <c r="G41" s="6" t="n">
        <v>6</v>
      </c>
      <c r="H41" s="6" t="n">
        <v>6</v>
      </c>
      <c r="I41" s="6" t="inlineStr">
        <is>
          <t>W vs W</t>
        </is>
      </c>
      <c r="J41" s="6" t="inlineStr">
        <is>
          <t>1d4</t>
        </is>
      </c>
      <c r="K41" s="6" t="inlineStr">
        <is>
          <t>1d4</t>
        </is>
      </c>
      <c r="L41" s="6" t="inlineStr">
        <is>
          <t>Special</t>
        </is>
      </c>
      <c r="M41" s="6" t="inlineStr"/>
      <c r="N41" s="6" t="inlineStr"/>
    </row>
    <row r="42">
      <c r="A42" s="5" t="n">
        <v>39</v>
      </c>
      <c r="B42" s="5" t="inlineStr">
        <is>
          <t>The Gnonmen</t>
        </is>
      </c>
      <c r="C42" s="5" t="inlineStr">
        <is>
          <t>Hearth-Lantern Shrine</t>
        </is>
      </c>
      <c r="D42" s="5" t="inlineStr">
        <is>
          <t>Magic</t>
        </is>
      </c>
      <c r="E42" s="5" t="inlineStr">
        <is>
          <t>Heliotropolis</t>
        </is>
      </c>
      <c r="F42" s="5" t="n">
        <v>5</v>
      </c>
      <c r="G42" s="5" t="n">
        <v>8</v>
      </c>
      <c r="H42" s="5" t="n">
        <v>8</v>
      </c>
      <c r="I42" s="5" t="inlineStr">
        <is>
          <t>M vs M</t>
        </is>
      </c>
      <c r="J42" s="5" t="inlineStr">
        <is>
          <t>1d6</t>
        </is>
      </c>
      <c r="K42" s="5" t="inlineStr">
        <is>
          <t>1d4</t>
        </is>
      </c>
      <c r="L42" s="5" t="inlineStr">
        <is>
          <t>Special</t>
        </is>
      </c>
      <c r="M42" s="5" t="inlineStr"/>
      <c r="N42" s="5" t="inlineStr"/>
    </row>
    <row r="43">
      <c r="A43" s="6" t="n">
        <v>40</v>
      </c>
      <c r="B43" s="6" t="inlineStr">
        <is>
          <t>The Gnonmen</t>
        </is>
      </c>
      <c r="C43" s="6" t="inlineStr">
        <is>
          <t>Lightless Cartographers</t>
        </is>
      </c>
      <c r="D43" s="6" t="inlineStr">
        <is>
          <t>Cunning</t>
        </is>
      </c>
      <c r="E43" s="6" t="inlineStr">
        <is>
          <t>Nox</t>
        </is>
      </c>
      <c r="F43" s="6" t="n">
        <v>3</v>
      </c>
      <c r="G43" s="6" t="n">
        <v>4</v>
      </c>
      <c r="H43" s="6" t="n">
        <v>4</v>
      </c>
      <c r="I43" s="6" t="inlineStr">
        <is>
          <t>C vs C</t>
        </is>
      </c>
      <c r="J43" s="6" t="inlineStr">
        <is>
          <t>1d4</t>
        </is>
      </c>
      <c r="K43" s="6" t="inlineStr">
        <is>
          <t>—</t>
        </is>
      </c>
      <c r="L43" s="6" t="inlineStr">
        <is>
          <t>Stealthed, Mobile</t>
        </is>
      </c>
      <c r="M43" s="6" t="inlineStr">
        <is>
          <t>Yes</t>
        </is>
      </c>
      <c r="N43" s="6" t="inlineStr"/>
    </row>
    <row r="44">
      <c r="A44" s="5" t="n">
        <v>41</v>
      </c>
      <c r="B44" s="5" t="inlineStr">
        <is>
          <t>The Gnonmen</t>
        </is>
      </c>
      <c r="C44" s="5" t="inlineStr">
        <is>
          <t>Border Fort</t>
        </is>
      </c>
      <c r="D44" s="5" t="inlineStr">
        <is>
          <t>Force</t>
        </is>
      </c>
      <c r="E44" s="5" t="inlineStr">
        <is>
          <t>Heliotropolis</t>
        </is>
      </c>
      <c r="F44" s="5" t="n">
        <v>6</v>
      </c>
      <c r="G44" s="5" t="n">
        <v>20</v>
      </c>
      <c r="H44" s="5" t="n">
        <v>20</v>
      </c>
      <c r="I44" s="5" t="inlineStr">
        <is>
          <t>—</t>
        </is>
      </c>
      <c r="J44" s="5" t="inlineStr">
        <is>
          <t>—</t>
        </is>
      </c>
      <c r="K44" s="5" t="inlineStr">
        <is>
          <t>1d6</t>
        </is>
      </c>
      <c r="L44" s="5" t="inlineStr">
        <is>
          <t>Action</t>
        </is>
      </c>
      <c r="M44" s="5" t="inlineStr"/>
      <c r="N44" s="5" t="inlineStr"/>
    </row>
    <row r="45">
      <c r="A45" s="6" t="n">
        <v>42</v>
      </c>
      <c r="B45" s="6" t="inlineStr">
        <is>
          <t>The Substratals</t>
        </is>
      </c>
      <c r="C45" s="6" t="inlineStr">
        <is>
          <t>Stone-Voice Oracle</t>
        </is>
      </c>
      <c r="D45" s="6" t="inlineStr">
        <is>
          <t>Magic</t>
        </is>
      </c>
      <c r="E45" s="6" t="inlineStr">
        <is>
          <t>The Core</t>
        </is>
      </c>
      <c r="F45" s="6" t="n">
        <v>10</v>
      </c>
      <c r="G45" s="6" t="n">
        <v>14</v>
      </c>
      <c r="H45" s="6" t="n">
        <v>14</v>
      </c>
      <c r="I45" s="6" t="inlineStr">
        <is>
          <t>M vs M</t>
        </is>
      </c>
      <c r="J45" s="6" t="inlineStr">
        <is>
          <t>1d8</t>
        </is>
      </c>
      <c r="K45" s="6" t="inlineStr">
        <is>
          <t>1d8</t>
        </is>
      </c>
      <c r="L45" s="6" t="inlineStr">
        <is>
          <t>Special</t>
        </is>
      </c>
      <c r="M45" s="6" t="inlineStr"/>
      <c r="N45" s="6" t="inlineStr"/>
    </row>
    <row r="46">
      <c r="A46" s="5" t="n">
        <v>43</v>
      </c>
      <c r="B46" s="5" t="inlineStr">
        <is>
          <t>The Substratals</t>
        </is>
      </c>
      <c r="C46" s="5" t="inlineStr">
        <is>
          <t>Stone-Eaters</t>
        </is>
      </c>
      <c r="D46" s="5" t="inlineStr">
        <is>
          <t>Force</t>
        </is>
      </c>
      <c r="E46" s="5" t="inlineStr">
        <is>
          <t>The Core</t>
        </is>
      </c>
      <c r="F46" s="5" t="n">
        <v>8</v>
      </c>
      <c r="G46" s="5" t="n">
        <v>14</v>
      </c>
      <c r="H46" s="5" t="n">
        <v>14</v>
      </c>
      <c r="I46" s="5" t="inlineStr">
        <is>
          <t>F vs F</t>
        </is>
      </c>
      <c r="J46" s="5" t="inlineStr">
        <is>
          <t>1d10</t>
        </is>
      </c>
      <c r="K46" s="5" t="inlineStr">
        <is>
          <t>1d8</t>
        </is>
      </c>
      <c r="L46" s="5" t="inlineStr">
        <is>
          <t>Special</t>
        </is>
      </c>
      <c r="M46" s="5" t="inlineStr"/>
      <c r="N46" s="5" t="inlineStr"/>
    </row>
    <row r="47">
      <c r="A47" s="6" t="n">
        <v>44</v>
      </c>
      <c r="B47" s="6" t="inlineStr">
        <is>
          <t>The Substratals</t>
        </is>
      </c>
      <c r="C47" s="6" t="inlineStr">
        <is>
          <t>Substratal Tribute Stones</t>
        </is>
      </c>
      <c r="D47" s="6" t="inlineStr">
        <is>
          <t>Wealth</t>
        </is>
      </c>
      <c r="E47" s="6" t="inlineStr">
        <is>
          <t>The Core</t>
        </is>
      </c>
      <c r="F47" s="6" t="n">
        <v>6</v>
      </c>
      <c r="G47" s="6" t="n">
        <v>10</v>
      </c>
      <c r="H47" s="6" t="n">
        <v>10</v>
      </c>
      <c r="I47" s="6" t="inlineStr">
        <is>
          <t>—</t>
        </is>
      </c>
      <c r="J47" s="6" t="inlineStr">
        <is>
          <t>—</t>
        </is>
      </c>
      <c r="K47" s="6" t="inlineStr">
        <is>
          <t>—</t>
        </is>
      </c>
      <c r="L47" s="6" t="inlineStr">
        <is>
          <t>Special</t>
        </is>
      </c>
      <c r="M47" s="6" t="inlineStr"/>
      <c r="N47" s="6" t="inlineStr"/>
    </row>
    <row r="48">
      <c r="A48" s="5" t="n">
        <v>45</v>
      </c>
      <c r="B48" s="5" t="inlineStr">
        <is>
          <t>The Substratals</t>
        </is>
      </c>
      <c r="C48" s="5" t="inlineStr">
        <is>
          <t>Citadel</t>
        </is>
      </c>
      <c r="D48" s="5" t="inlineStr">
        <is>
          <t>Force</t>
        </is>
      </c>
      <c r="E48" s="5" t="inlineStr">
        <is>
          <t>The Core</t>
        </is>
      </c>
      <c r="F48" s="5" t="n">
        <v>12</v>
      </c>
      <c r="G48" s="5" t="n">
        <v>30</v>
      </c>
      <c r="H48" s="5" t="n">
        <v>30</v>
      </c>
      <c r="I48" s="5" t="inlineStr">
        <is>
          <t>—</t>
        </is>
      </c>
      <c r="J48" s="5" t="inlineStr">
        <is>
          <t>—</t>
        </is>
      </c>
      <c r="K48" s="5" t="inlineStr">
        <is>
          <t>1d10</t>
        </is>
      </c>
      <c r="L48" s="5" t="inlineStr">
        <is>
          <t>Action</t>
        </is>
      </c>
      <c r="M48" s="5" t="inlineStr"/>
      <c r="N48" s="5" t="inlineStr"/>
    </row>
    <row r="49">
      <c r="A49" s="6" t="n">
        <v>46</v>
      </c>
      <c r="B49" s="6" t="inlineStr">
        <is>
          <t>The Substratals</t>
        </is>
      </c>
      <c r="C49" s="6" t="inlineStr">
        <is>
          <t>Ritual Casters</t>
        </is>
      </c>
      <c r="D49" s="6" t="inlineStr">
        <is>
          <t>Magic</t>
        </is>
      </c>
      <c r="E49" s="6" t="inlineStr">
        <is>
          <t>The Core</t>
        </is>
      </c>
      <c r="F49" s="6" t="n">
        <v>6</v>
      </c>
      <c r="G49" s="6" t="n">
        <v>6</v>
      </c>
      <c r="H49" s="6" t="n">
        <v>6</v>
      </c>
      <c r="I49" s="6" t="inlineStr">
        <is>
          <t>M vs M</t>
        </is>
      </c>
      <c r="J49" s="6" t="inlineStr">
        <is>
          <t>1d8</t>
        </is>
      </c>
      <c r="K49" s="6" t="inlineStr">
        <is>
          <t>1d4</t>
        </is>
      </c>
      <c r="L49" s="6" t="inlineStr">
        <is>
          <t>Subtle</t>
        </is>
      </c>
      <c r="M49" s="6" t="inlineStr"/>
      <c r="N49" s="6" t="inlineStr"/>
    </row>
    <row r="50">
      <c r="A50" s="5" t="n">
        <v>47</v>
      </c>
      <c r="B50" s="5" t="inlineStr">
        <is>
          <t>The Substratals</t>
        </is>
      </c>
      <c r="C50" s="5" t="inlineStr">
        <is>
          <t>Bound Spirit</t>
        </is>
      </c>
      <c r="D50" s="5" t="inlineStr">
        <is>
          <t>Magic</t>
        </is>
      </c>
      <c r="E50" s="5" t="inlineStr">
        <is>
          <t>Comorragh</t>
        </is>
      </c>
      <c r="F50" s="5" t="n">
        <v>8</v>
      </c>
      <c r="G50" s="5" t="n">
        <v>12</v>
      </c>
      <c r="H50" s="5" t="n">
        <v>12</v>
      </c>
      <c r="I50" s="5" t="inlineStr">
        <is>
          <t>M vs F</t>
        </is>
      </c>
      <c r="J50" s="5" t="inlineStr">
        <is>
          <t>1d8</t>
        </is>
      </c>
      <c r="K50" s="5" t="inlineStr">
        <is>
          <t>1d6</t>
        </is>
      </c>
      <c r="L50" s="5" t="inlineStr">
        <is>
          <t>—</t>
        </is>
      </c>
      <c r="M50" s="5" t="inlineStr"/>
      <c r="N50" s="5" t="inlineStr"/>
    </row>
    <row r="51">
      <c r="A51" s="6" t="n">
        <v>48</v>
      </c>
      <c r="B51" s="6" t="inlineStr">
        <is>
          <t>The Deep Janeen</t>
        </is>
      </c>
      <c r="C51" s="6" t="inlineStr">
        <is>
          <t>Wonderworker</t>
        </is>
      </c>
      <c r="D51" s="6" t="inlineStr">
        <is>
          <t>Magic</t>
        </is>
      </c>
      <c r="E51" s="6" t="inlineStr">
        <is>
          <t>Piranesi</t>
        </is>
      </c>
      <c r="F51" s="6" t="n">
        <v>16</v>
      </c>
      <c r="G51" s="6" t="n">
        <v>14</v>
      </c>
      <c r="H51" s="6" t="n">
        <v>14</v>
      </c>
      <c r="I51" s="6" t="inlineStr">
        <is>
          <t>M vs M</t>
        </is>
      </c>
      <c r="J51" s="6" t="inlineStr">
        <is>
          <t>2d6</t>
        </is>
      </c>
      <c r="K51" s="6" t="inlineStr">
        <is>
          <t>1d8</t>
        </is>
      </c>
      <c r="L51" s="6" t="inlineStr">
        <is>
          <t>Special</t>
        </is>
      </c>
      <c r="M51" s="6" t="inlineStr"/>
      <c r="N51" s="6" t="inlineStr"/>
    </row>
    <row r="52">
      <c r="A52" s="5" t="n">
        <v>49</v>
      </c>
      <c r="B52" s="5" t="inlineStr">
        <is>
          <t>The Deep Janeen</t>
        </is>
      </c>
      <c r="C52" s="5" t="inlineStr">
        <is>
          <t>Adept Order</t>
        </is>
      </c>
      <c r="D52" s="5" t="inlineStr">
        <is>
          <t>Magic</t>
        </is>
      </c>
      <c r="E52" s="5" t="inlineStr">
        <is>
          <t>Piranesi</t>
        </is>
      </c>
      <c r="F52" s="5" t="n">
        <v>12</v>
      </c>
      <c r="G52" s="5" t="n">
        <v>12</v>
      </c>
      <c r="H52" s="5" t="n">
        <v>12</v>
      </c>
      <c r="I52" s="5" t="inlineStr">
        <is>
          <t>M vs M</t>
        </is>
      </c>
      <c r="J52" s="5" t="inlineStr">
        <is>
          <t>1d10</t>
        </is>
      </c>
      <c r="K52" s="5" t="inlineStr">
        <is>
          <t>1d6</t>
        </is>
      </c>
      <c r="L52" s="5" t="inlineStr">
        <is>
          <t>—</t>
        </is>
      </c>
      <c r="M52" s="5" t="inlineStr"/>
      <c r="N52" s="5" t="inlineStr"/>
    </row>
    <row r="53">
      <c r="A53" s="6" t="n">
        <v>50</v>
      </c>
      <c r="B53" s="6" t="inlineStr">
        <is>
          <t>The Deep Janeen</t>
        </is>
      </c>
      <c r="C53" s="6" t="inlineStr">
        <is>
          <t>Maze-Toll</t>
        </is>
      </c>
      <c r="D53" s="6" t="inlineStr">
        <is>
          <t>Wealth</t>
        </is>
      </c>
      <c r="E53" s="6" t="inlineStr">
        <is>
          <t>Piranesi</t>
        </is>
      </c>
      <c r="F53" s="6" t="n">
        <v>8</v>
      </c>
      <c r="G53" s="6" t="n">
        <v>10</v>
      </c>
      <c r="H53" s="6" t="n">
        <v>10</v>
      </c>
      <c r="I53" s="6" t="inlineStr">
        <is>
          <t>W vs M</t>
        </is>
      </c>
      <c r="J53" s="6" t="inlineStr">
        <is>
          <t>1d6</t>
        </is>
      </c>
      <c r="K53" s="6" t="inlineStr">
        <is>
          <t>—</t>
        </is>
      </c>
      <c r="L53" s="6" t="inlineStr">
        <is>
          <t>Special</t>
        </is>
      </c>
      <c r="M53" s="6" t="inlineStr"/>
      <c r="N53" s="6" t="inlineStr"/>
    </row>
    <row r="54">
      <c r="A54" s="5" t="n">
        <v>51</v>
      </c>
      <c r="B54" s="5" t="inlineStr">
        <is>
          <t>The Deep Janeen</t>
        </is>
      </c>
      <c r="C54" s="5" t="inlineStr">
        <is>
          <t>Counting House</t>
        </is>
      </c>
      <c r="D54" s="5" t="inlineStr">
        <is>
          <t>Wealth</t>
        </is>
      </c>
      <c r="E54" s="5" t="inlineStr">
        <is>
          <t>Nox</t>
        </is>
      </c>
      <c r="F54" s="5" t="n">
        <v>12</v>
      </c>
      <c r="G54" s="5" t="n">
        <v>12</v>
      </c>
      <c r="H54" s="5" t="n">
        <v>12</v>
      </c>
      <c r="I54" s="5" t="inlineStr">
        <is>
          <t>W vs W</t>
        </is>
      </c>
      <c r="J54" s="5" t="inlineStr">
        <is>
          <t>1d10</t>
        </is>
      </c>
      <c r="K54" s="5" t="inlineStr">
        <is>
          <t>1d6</t>
        </is>
      </c>
      <c r="L54" s="5" t="inlineStr">
        <is>
          <t>—</t>
        </is>
      </c>
      <c r="M54" s="5" t="inlineStr"/>
      <c r="N54" s="5" t="inlineStr"/>
    </row>
    <row r="55">
      <c r="A55" s="6" t="n">
        <v>52</v>
      </c>
      <c r="B55" s="6" t="inlineStr">
        <is>
          <t>The Deep Janeen</t>
        </is>
      </c>
      <c r="C55" s="6" t="inlineStr">
        <is>
          <t>Janeen Aesthete-Spies</t>
        </is>
      </c>
      <c r="D55" s="6" t="inlineStr">
        <is>
          <t>Cunning</t>
        </is>
      </c>
      <c r="E55" s="6" t="inlineStr">
        <is>
          <t>Nox</t>
        </is>
      </c>
      <c r="F55" s="6" t="n">
        <v>8</v>
      </c>
      <c r="G55" s="6" t="n">
        <v>8</v>
      </c>
      <c r="H55" s="6" t="n">
        <v>8</v>
      </c>
      <c r="I55" s="6" t="inlineStr">
        <is>
          <t>C vs C</t>
        </is>
      </c>
      <c r="J55" s="6" t="inlineStr">
        <is>
          <t>1d10</t>
        </is>
      </c>
      <c r="K55" s="6" t="inlineStr">
        <is>
          <t>—</t>
        </is>
      </c>
      <c r="L55" s="6" t="inlineStr">
        <is>
          <t>Subtle</t>
        </is>
      </c>
      <c r="M55" s="6" t="inlineStr"/>
      <c r="N55" s="6" t="inlineStr"/>
    </row>
    <row r="56">
      <c r="A56" s="5" t="n">
        <v>53</v>
      </c>
      <c r="B56" s="5" t="inlineStr">
        <is>
          <t>The Deep Janeen</t>
        </is>
      </c>
      <c r="C56" s="5" t="inlineStr">
        <is>
          <t>Bound Spirit</t>
        </is>
      </c>
      <c r="D56" s="5" t="inlineStr">
        <is>
          <t>Magic</t>
        </is>
      </c>
      <c r="E56" s="5" t="inlineStr">
        <is>
          <t>Piranesi</t>
        </is>
      </c>
      <c r="F56" s="5" t="n">
        <v>8</v>
      </c>
      <c r="G56" s="5" t="n">
        <v>12</v>
      </c>
      <c r="H56" s="5" t="n">
        <v>12</v>
      </c>
      <c r="I56" s="5" t="inlineStr">
        <is>
          <t>M vs F</t>
        </is>
      </c>
      <c r="J56" s="5" t="inlineStr">
        <is>
          <t>1d8</t>
        </is>
      </c>
      <c r="K56" s="5" t="inlineStr">
        <is>
          <t>1d6</t>
        </is>
      </c>
      <c r="L56" s="5" t="inlineStr">
        <is>
          <t>—</t>
        </is>
      </c>
      <c r="M56" s="5" t="inlineStr"/>
      <c r="N56" s="5" t="inlineStr"/>
    </row>
    <row r="57">
      <c r="A57" s="6" t="n">
        <v>54</v>
      </c>
      <c r="B57" s="6" t="inlineStr">
        <is>
          <t>The Olm</t>
        </is>
      </c>
      <c r="C57" s="6" t="inlineStr">
        <is>
          <t>Brigands</t>
        </is>
      </c>
      <c r="D57" s="6" t="inlineStr">
        <is>
          <t>Force</t>
        </is>
      </c>
      <c r="E57" s="6" t="inlineStr">
        <is>
          <t>Isles of the Imprisoned Moon</t>
        </is>
      </c>
      <c r="F57" s="6" t="n">
        <v>2</v>
      </c>
      <c r="G57" s="6" t="n">
        <v>6</v>
      </c>
      <c r="H57" s="6" t="n">
        <v>6</v>
      </c>
      <c r="I57" s="6" t="inlineStr">
        <is>
          <t>F vs F</t>
        </is>
      </c>
      <c r="J57" s="6" t="inlineStr">
        <is>
          <t>1d6</t>
        </is>
      </c>
      <c r="K57" s="6" t="inlineStr">
        <is>
          <t>1d4</t>
        </is>
      </c>
      <c r="L57" s="6" t="inlineStr">
        <is>
          <t>Mobile</t>
        </is>
      </c>
      <c r="M57" s="6" t="inlineStr"/>
      <c r="N57" s="6" t="inlineStr"/>
    </row>
    <row r="58">
      <c r="A58" s="5" t="n">
        <v>55</v>
      </c>
      <c r="B58" s="5" t="inlineStr">
        <is>
          <t>The Olm</t>
        </is>
      </c>
      <c r="C58" s="5" t="inlineStr">
        <is>
          <t>Smugglers</t>
        </is>
      </c>
      <c r="D58" s="5" t="inlineStr">
        <is>
          <t>Cunning</t>
        </is>
      </c>
      <c r="E58" s="5" t="inlineStr">
        <is>
          <t>Nox</t>
        </is>
      </c>
      <c r="F58" s="5" t="n">
        <v>2</v>
      </c>
      <c r="G58" s="5" t="n">
        <v>4</v>
      </c>
      <c r="H58" s="5" t="n">
        <v>4</v>
      </c>
      <c r="I58" s="5" t="inlineStr">
        <is>
          <t>C vs W</t>
        </is>
      </c>
      <c r="J58" s="5" t="inlineStr">
        <is>
          <t>1d6</t>
        </is>
      </c>
      <c r="K58" s="5" t="inlineStr">
        <is>
          <t>—</t>
        </is>
      </c>
      <c r="L58" s="5" t="inlineStr">
        <is>
          <t>Stealthed, Mobile</t>
        </is>
      </c>
      <c r="M58" s="5" t="inlineStr">
        <is>
          <t>Yes</t>
        </is>
      </c>
      <c r="N58" s="5" t="inlineStr"/>
    </row>
    <row r="59">
      <c r="A59" s="6" t="n">
        <v>56</v>
      </c>
      <c r="B59" s="6" t="inlineStr">
        <is>
          <t>The Olm</t>
        </is>
      </c>
      <c r="C59" s="6" t="inlineStr">
        <is>
          <t>Olm Listeners</t>
        </is>
      </c>
      <c r="D59" s="6" t="inlineStr">
        <is>
          <t>Cunning</t>
        </is>
      </c>
      <c r="E59" s="6" t="inlineStr">
        <is>
          <t>Isles of the Imprisoned Moon</t>
        </is>
      </c>
      <c r="F59" s="6" t="n">
        <v>2</v>
      </c>
      <c r="G59" s="6" t="n">
        <v>4</v>
      </c>
      <c r="H59" s="6" t="n">
        <v>4</v>
      </c>
      <c r="I59" s="6" t="inlineStr">
        <is>
          <t>C vs C</t>
        </is>
      </c>
      <c r="J59" s="6" t="inlineStr">
        <is>
          <t>1d6</t>
        </is>
      </c>
      <c r="K59" s="6" t="inlineStr">
        <is>
          <t>—</t>
        </is>
      </c>
      <c r="L59" s="6" t="inlineStr">
        <is>
          <t>Stealthed</t>
        </is>
      </c>
      <c r="M59" s="6" t="inlineStr">
        <is>
          <t>Yes</t>
        </is>
      </c>
      <c r="N59" s="6" t="inlineStr"/>
    </row>
    <row r="60">
      <c r="A60" s="5" t="n">
        <v>57</v>
      </c>
      <c r="B60" s="5" t="inlineStr">
        <is>
          <t>The Olm</t>
        </is>
      </c>
      <c r="C60" s="5" t="inlineStr">
        <is>
          <t>Hidden Larder</t>
        </is>
      </c>
      <c r="D60" s="5" t="inlineStr">
        <is>
          <t>Wealth</t>
        </is>
      </c>
      <c r="E60" s="5" t="inlineStr">
        <is>
          <t>Isles of the Imprisoned Moon</t>
        </is>
      </c>
      <c r="F60" s="5" t="n">
        <v>2</v>
      </c>
      <c r="G60" s="5" t="n">
        <v>4</v>
      </c>
      <c r="H60" s="5" t="n">
        <v>4</v>
      </c>
      <c r="I60" s="5" t="inlineStr">
        <is>
          <t>—</t>
        </is>
      </c>
      <c r="J60" s="5" t="inlineStr">
        <is>
          <t>—</t>
        </is>
      </c>
      <c r="K60" s="5" t="inlineStr">
        <is>
          <t>—</t>
        </is>
      </c>
      <c r="L60" s="5" t="inlineStr">
        <is>
          <t>Stealthed, Special</t>
        </is>
      </c>
      <c r="M60" s="5" t="inlineStr">
        <is>
          <t>Yes</t>
        </is>
      </c>
      <c r="N60" s="5" t="inlineStr"/>
    </row>
    <row r="61">
      <c r="A61" s="6" t="n">
        <v>58</v>
      </c>
      <c r="B61" s="6" t="inlineStr">
        <is>
          <t>The Olm</t>
        </is>
      </c>
      <c r="C61" s="6" t="inlineStr">
        <is>
          <t>Olm Anatomist</t>
        </is>
      </c>
      <c r="D61" s="6" t="inlineStr">
        <is>
          <t>Magic</t>
        </is>
      </c>
      <c r="E61" s="6" t="inlineStr">
        <is>
          <t>Isles of the Imprisoned Moon</t>
        </is>
      </c>
      <c r="F61" s="6" t="n">
        <v>8</v>
      </c>
      <c r="G61" s="6" t="n">
        <v>8</v>
      </c>
      <c r="H61" s="6" t="n">
        <v>8</v>
      </c>
      <c r="I61" s="6" t="inlineStr">
        <is>
          <t>M vs F</t>
        </is>
      </c>
      <c r="J61" s="6" t="inlineStr">
        <is>
          <t>2d4</t>
        </is>
      </c>
      <c r="K61" s="6" t="inlineStr">
        <is>
          <t>—</t>
        </is>
      </c>
      <c r="L61" s="6" t="inlineStr">
        <is>
          <t>Stealthed, Special</t>
        </is>
      </c>
      <c r="M61" s="6" t="inlineStr">
        <is>
          <t>Yes</t>
        </is>
      </c>
      <c r="N61" s="6" t="inlineStr"/>
    </row>
    <row r="62">
      <c r="A62" s="5" t="n">
        <v>59</v>
      </c>
      <c r="B62" s="5" t="inlineStr">
        <is>
          <t>The Olm</t>
        </is>
      </c>
      <c r="C62" s="5" t="inlineStr">
        <is>
          <t>Spirit Walkers</t>
        </is>
      </c>
      <c r="D62" s="5" t="inlineStr">
        <is>
          <t>Magic</t>
        </is>
      </c>
      <c r="E62" s="5" t="inlineStr">
        <is>
          <t>Nox</t>
        </is>
      </c>
      <c r="F62" s="5" t="n">
        <v>6</v>
      </c>
      <c r="G62" s="5" t="n">
        <v>6</v>
      </c>
      <c r="H62" s="5" t="n">
        <v>6</v>
      </c>
      <c r="I62" s="5" t="inlineStr">
        <is>
          <t>M vs C</t>
        </is>
      </c>
      <c r="J62" s="5" t="inlineStr">
        <is>
          <t>1d6</t>
        </is>
      </c>
      <c r="K62" s="5" t="inlineStr">
        <is>
          <t>—</t>
        </is>
      </c>
      <c r="L62" s="5" t="inlineStr">
        <is>
          <t>Stealthed, Subtle</t>
        </is>
      </c>
      <c r="M62" s="5" t="inlineStr">
        <is>
          <t>Yes</t>
        </is>
      </c>
      <c r="N62" s="5" t="inlineStr"/>
    </row>
  </sheetData>
  <mergeCells count="1">
    <mergeCell ref="A1:N1"/>
  </mergeCells>
  <dataValidations count="3">
    <dataValidation sqref="M4 M5 M6 M7 M8 M9 M10 M11 M12 M13 M14 M15 M16 M17 M18 M19 M20 M21 M22 M23 M24 M25 M26 M27 M28 M29 M30 M31 M32 M33 M34 M35 M36 M37 M38 M39 M40 M41 M42 M43 M44 M45 M46 M47 M48 M49 M50 M51 M52 M53 M54 M55 M56 M57 M58 M59 M60 M61 M62" showDropDown="0" showInputMessage="0" showErrorMessage="0" allowBlank="1" type="list">
      <formula1>"Yes"</formula1>
    </dataValidation>
    <dataValidation sqref="D4 D5 D6 D7 D8 D9 D10 D11 D12 D13 D14 D15 D16 D17 D18 D19 D20 D21 D22 D23 D24 D25 D26 D27 D28 D29 D30 D31 D32 D33 D34 D35 D36 D37 D38 D39 D40 D41 D42 D43 D44 D45 D46 D47 D48 D49 D50 D51 D52 D53 D54 D55 D56 D57 D58 D59 D60 D61 D62" showDropDown="0" showInputMessage="0" showErrorMessage="0" allowBlank="1" type="list">
      <formula1>"Force,Cunning,Wealth,Magic"</formula1>
    </dataValidation>
    <dataValidation sqref="E4 E5 E6 E7 E8 E9 E10 E11 E12 E13 E14 E15 E16 E17 E18 E19 E20 E21 E22 E23 E24 E25 E26 E27 E28 E29 E30 E31 E32 E33 E34 E35 E36 E37 E38 E39 E40 E41 E42 E43 E44 E45 E46 E47 E48 E49 E50 E51 E52 E53 E54 E55 E56 E57 E58 E59 E60 E61 E62" showDropDown="0" showInputMessage="0" showErrorMessage="0" allowBlank="1" type="list">
      <formula1>=Locations[Location]</formula1>
    </dataValidation>
  </dataValidations>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tabColor rgb="008064A2"/>
    <outlinePr summaryBelow="1" summaryRight="1"/>
    <pageSetUpPr/>
  </sheetPr>
  <dimension ref="A1:J14"/>
  <sheetViews>
    <sheetView workbookViewId="0">
      <selection activeCell="A1" sqref="A1"/>
    </sheetView>
  </sheetViews>
  <sheetFormatPr baseColWidth="8" defaultRowHeight="15"/>
  <cols>
    <col width="30"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s>
  <sheetData>
    <row r="1" ht="24" customHeight="1">
      <c r="A1" s="1" t="inlineStr">
        <is>
          <t>Locations Matrix — who has what, where</t>
        </is>
      </c>
    </row>
    <row r="2">
      <c r="A2" s="13" t="inlineStr">
        <is>
          <t>Cells auto-derive from the Asset Register via FILTER. Change a unit's location in Asset Register and it moves here.</t>
        </is>
      </c>
    </row>
    <row r="4">
      <c r="A4" s="16" t="inlineStr">
        <is>
          <t>Location</t>
        </is>
      </c>
      <c r="B4" s="16" t="inlineStr">
        <is>
          <t>The Knotsmen</t>
        </is>
      </c>
      <c r="C4" s="16" t="inlineStr">
        <is>
          <t>The Aelf-Adal</t>
        </is>
      </c>
      <c r="D4" s="16" t="inlineStr">
        <is>
          <t>The Funginids</t>
        </is>
      </c>
      <c r="E4" s="16" t="inlineStr">
        <is>
          <t>The dErO</t>
        </is>
      </c>
      <c r="F4" s="16" t="inlineStr">
        <is>
          <t>The Dvargir</t>
        </is>
      </c>
      <c r="G4" s="16" t="inlineStr">
        <is>
          <t>The Gnonmen</t>
        </is>
      </c>
      <c r="H4" s="16" t="inlineStr">
        <is>
          <t>The Substratals</t>
        </is>
      </c>
      <c r="I4" s="16" t="inlineStr">
        <is>
          <t>The Deep Janeen</t>
        </is>
      </c>
      <c r="J4" s="16" t="inlineStr">
        <is>
          <t>The Olm</t>
        </is>
      </c>
    </row>
    <row r="5" ht="75" customHeight="1">
      <c r="A5" s="8" t="inlineStr">
        <is>
          <t>Celephais</t>
        </is>
      </c>
      <c r="B5" s="17">
        <f>TEXTJOIN(CHAR(10), TRUE, IFERROR(FILTER(Register[Asset]&amp;" ("&amp;Register[CurHP]&amp;"/"&amp;Register[MaxHP]&amp;")", (Register[Location]="Celephais")*(Register[Faction]="The Knotsmen"), ""), ""))</f>
        <v/>
      </c>
      <c r="C5" s="17">
        <f>TEXTJOIN(CHAR(10), TRUE, IFERROR(FILTER(Register[Asset]&amp;" ("&amp;Register[CurHP]&amp;"/"&amp;Register[MaxHP]&amp;")", (Register[Location]="Celephais")*(Register[Faction]="The Aelf-Adal"), ""), ""))</f>
        <v/>
      </c>
      <c r="D5" s="17">
        <f>TEXTJOIN(CHAR(10), TRUE, IFERROR(FILTER(Register[Asset]&amp;" ("&amp;Register[CurHP]&amp;"/"&amp;Register[MaxHP]&amp;")", (Register[Location]="Celephais")*(Register[Faction]="The Funginids"), ""), ""))</f>
        <v/>
      </c>
      <c r="E5" s="17">
        <f>TEXTJOIN(CHAR(10), TRUE, IFERROR(FILTER(Register[Asset]&amp;" ("&amp;Register[CurHP]&amp;"/"&amp;Register[MaxHP]&amp;")", (Register[Location]="Celephais")*(Register[Faction]="The dErO"), ""), ""))</f>
        <v/>
      </c>
      <c r="F5" s="17">
        <f>TEXTJOIN(CHAR(10), TRUE, IFERROR(FILTER(Register[Asset]&amp;" ("&amp;Register[CurHP]&amp;"/"&amp;Register[MaxHP]&amp;")", (Register[Location]="Celephais")*(Register[Faction]="The Dvargir"), ""), ""))</f>
        <v/>
      </c>
      <c r="G5" s="17">
        <f>TEXTJOIN(CHAR(10), TRUE, IFERROR(FILTER(Register[Asset]&amp;" ("&amp;Register[CurHP]&amp;"/"&amp;Register[MaxHP]&amp;")", (Register[Location]="Celephais")*(Register[Faction]="The Gnonmen"), ""), ""))</f>
        <v/>
      </c>
      <c r="H5" s="17">
        <f>TEXTJOIN(CHAR(10), TRUE, IFERROR(FILTER(Register[Asset]&amp;" ("&amp;Register[CurHP]&amp;"/"&amp;Register[MaxHP]&amp;")", (Register[Location]="Celephais")*(Register[Faction]="The Substratals"), ""), ""))</f>
        <v/>
      </c>
      <c r="I5" s="17">
        <f>TEXTJOIN(CHAR(10), TRUE, IFERROR(FILTER(Register[Asset]&amp;" ("&amp;Register[CurHP]&amp;"/"&amp;Register[MaxHP]&amp;")", (Register[Location]="Celephais")*(Register[Faction]="The Deep Janeen"), ""), ""))</f>
        <v/>
      </c>
      <c r="J5" s="17">
        <f>TEXTJOIN(CHAR(10), TRUE, IFERROR(FILTER(Register[Asset]&amp;" ("&amp;Register[CurHP]&amp;"/"&amp;Register[MaxHP]&amp;")", (Register[Location]="Celephais")*(Register[Faction]="The Olm"), ""), ""))</f>
        <v/>
      </c>
    </row>
    <row r="6" ht="75" customHeight="1">
      <c r="A6" s="18" t="inlineStr">
        <is>
          <t>Nox</t>
        </is>
      </c>
      <c r="B6" s="19">
        <f>TEXTJOIN(CHAR(10), TRUE, IFERROR(FILTER(Register[Asset]&amp;" ("&amp;Register[CurHP]&amp;"/"&amp;Register[MaxHP]&amp;")", (Register[Location]="Nox")*(Register[Faction]="The Knotsmen"), ""), ""))</f>
        <v/>
      </c>
      <c r="C6" s="19">
        <f>TEXTJOIN(CHAR(10), TRUE, IFERROR(FILTER(Register[Asset]&amp;" ("&amp;Register[CurHP]&amp;"/"&amp;Register[MaxHP]&amp;")", (Register[Location]="Nox")*(Register[Faction]="The Aelf-Adal"), ""), ""))</f>
        <v/>
      </c>
      <c r="D6" s="19">
        <f>TEXTJOIN(CHAR(10), TRUE, IFERROR(FILTER(Register[Asset]&amp;" ("&amp;Register[CurHP]&amp;"/"&amp;Register[MaxHP]&amp;")", (Register[Location]="Nox")*(Register[Faction]="The Funginids"), ""), ""))</f>
        <v/>
      </c>
      <c r="E6" s="19">
        <f>TEXTJOIN(CHAR(10), TRUE, IFERROR(FILTER(Register[Asset]&amp;" ("&amp;Register[CurHP]&amp;"/"&amp;Register[MaxHP]&amp;")", (Register[Location]="Nox")*(Register[Faction]="The dErO"), ""), ""))</f>
        <v/>
      </c>
      <c r="F6" s="19">
        <f>TEXTJOIN(CHAR(10), TRUE, IFERROR(FILTER(Register[Asset]&amp;" ("&amp;Register[CurHP]&amp;"/"&amp;Register[MaxHP]&amp;")", (Register[Location]="Nox")*(Register[Faction]="The Dvargir"), ""), ""))</f>
        <v/>
      </c>
      <c r="G6" s="19">
        <f>TEXTJOIN(CHAR(10), TRUE, IFERROR(FILTER(Register[Asset]&amp;" ("&amp;Register[CurHP]&amp;"/"&amp;Register[MaxHP]&amp;")", (Register[Location]="Nox")*(Register[Faction]="The Gnonmen"), ""), ""))</f>
        <v/>
      </c>
      <c r="H6" s="19">
        <f>TEXTJOIN(CHAR(10), TRUE, IFERROR(FILTER(Register[Asset]&amp;" ("&amp;Register[CurHP]&amp;"/"&amp;Register[MaxHP]&amp;")", (Register[Location]="Nox")*(Register[Faction]="The Substratals"), ""), ""))</f>
        <v/>
      </c>
      <c r="I6" s="19">
        <f>TEXTJOIN(CHAR(10), TRUE, IFERROR(FILTER(Register[Asset]&amp;" ("&amp;Register[CurHP]&amp;"/"&amp;Register[MaxHP]&amp;")", (Register[Location]="Nox")*(Register[Faction]="The Deep Janeen"), ""), ""))</f>
        <v/>
      </c>
      <c r="J6" s="19">
        <f>TEXTJOIN(CHAR(10), TRUE, IFERROR(FILTER(Register[Asset]&amp;" ("&amp;Register[CurHP]&amp;"/"&amp;Register[MaxHP]&amp;")", (Register[Location]="Nox")*(Register[Faction]="The Olm"), ""), ""))</f>
        <v/>
      </c>
    </row>
    <row r="7" ht="75" customHeight="1">
      <c r="A7" s="8" t="inlineStr">
        <is>
          <t>Isles of the Imprisoned Moon</t>
        </is>
      </c>
      <c r="B7" s="17">
        <f>TEXTJOIN(CHAR(10), TRUE, IFERROR(FILTER(Register[Asset]&amp;" ("&amp;Register[CurHP]&amp;"/"&amp;Register[MaxHP]&amp;")", (Register[Location]="Isles of the Imprisoned Moon")*(Register[Faction]="The Knotsmen"), ""), ""))</f>
        <v/>
      </c>
      <c r="C7" s="17">
        <f>TEXTJOIN(CHAR(10), TRUE, IFERROR(FILTER(Register[Asset]&amp;" ("&amp;Register[CurHP]&amp;"/"&amp;Register[MaxHP]&amp;")", (Register[Location]="Isles of the Imprisoned Moon")*(Register[Faction]="The Aelf-Adal"), ""), ""))</f>
        <v/>
      </c>
      <c r="D7" s="17">
        <f>TEXTJOIN(CHAR(10), TRUE, IFERROR(FILTER(Register[Asset]&amp;" ("&amp;Register[CurHP]&amp;"/"&amp;Register[MaxHP]&amp;")", (Register[Location]="Isles of the Imprisoned Moon")*(Register[Faction]="The Funginids"), ""), ""))</f>
        <v/>
      </c>
      <c r="E7" s="17">
        <f>TEXTJOIN(CHAR(10), TRUE, IFERROR(FILTER(Register[Asset]&amp;" ("&amp;Register[CurHP]&amp;"/"&amp;Register[MaxHP]&amp;")", (Register[Location]="Isles of the Imprisoned Moon")*(Register[Faction]="The dErO"), ""), ""))</f>
        <v/>
      </c>
      <c r="F7" s="17">
        <f>TEXTJOIN(CHAR(10), TRUE, IFERROR(FILTER(Register[Asset]&amp;" ("&amp;Register[CurHP]&amp;"/"&amp;Register[MaxHP]&amp;")", (Register[Location]="Isles of the Imprisoned Moon")*(Register[Faction]="The Dvargir"), ""), ""))</f>
        <v/>
      </c>
      <c r="G7" s="17">
        <f>TEXTJOIN(CHAR(10), TRUE, IFERROR(FILTER(Register[Asset]&amp;" ("&amp;Register[CurHP]&amp;"/"&amp;Register[MaxHP]&amp;")", (Register[Location]="Isles of the Imprisoned Moon")*(Register[Faction]="The Gnonmen"), ""), ""))</f>
        <v/>
      </c>
      <c r="H7" s="17">
        <f>TEXTJOIN(CHAR(10), TRUE, IFERROR(FILTER(Register[Asset]&amp;" ("&amp;Register[CurHP]&amp;"/"&amp;Register[MaxHP]&amp;")", (Register[Location]="Isles of the Imprisoned Moon")*(Register[Faction]="The Substratals"), ""), ""))</f>
        <v/>
      </c>
      <c r="I7" s="17">
        <f>TEXTJOIN(CHAR(10), TRUE, IFERROR(FILTER(Register[Asset]&amp;" ("&amp;Register[CurHP]&amp;"/"&amp;Register[MaxHP]&amp;")", (Register[Location]="Isles of the Imprisoned Moon")*(Register[Faction]="The Deep Janeen"), ""), ""))</f>
        <v/>
      </c>
      <c r="J7" s="17">
        <f>TEXTJOIN(CHAR(10), TRUE, IFERROR(FILTER(Register[Asset]&amp;" ("&amp;Register[CurHP]&amp;"/"&amp;Register[MaxHP]&amp;")", (Register[Location]="Isles of the Imprisoned Moon")*(Register[Faction]="The Olm"), ""), ""))</f>
        <v/>
      </c>
    </row>
    <row r="8" ht="75" customHeight="1">
      <c r="A8" s="18" t="inlineStr">
        <is>
          <t>Comorragh</t>
        </is>
      </c>
      <c r="B8" s="19">
        <f>TEXTJOIN(CHAR(10), TRUE, IFERROR(FILTER(Register[Asset]&amp;" ("&amp;Register[CurHP]&amp;"/"&amp;Register[MaxHP]&amp;")", (Register[Location]="Comorragh")*(Register[Faction]="The Knotsmen"), ""), ""))</f>
        <v/>
      </c>
      <c r="C8" s="19">
        <f>TEXTJOIN(CHAR(10), TRUE, IFERROR(FILTER(Register[Asset]&amp;" ("&amp;Register[CurHP]&amp;"/"&amp;Register[MaxHP]&amp;")", (Register[Location]="Comorragh")*(Register[Faction]="The Aelf-Adal"), ""), ""))</f>
        <v/>
      </c>
      <c r="D8" s="19">
        <f>TEXTJOIN(CHAR(10), TRUE, IFERROR(FILTER(Register[Asset]&amp;" ("&amp;Register[CurHP]&amp;"/"&amp;Register[MaxHP]&amp;")", (Register[Location]="Comorragh")*(Register[Faction]="The Funginids"), ""), ""))</f>
        <v/>
      </c>
      <c r="E8" s="19">
        <f>TEXTJOIN(CHAR(10), TRUE, IFERROR(FILTER(Register[Asset]&amp;" ("&amp;Register[CurHP]&amp;"/"&amp;Register[MaxHP]&amp;")", (Register[Location]="Comorragh")*(Register[Faction]="The dErO"), ""), ""))</f>
        <v/>
      </c>
      <c r="F8" s="19">
        <f>TEXTJOIN(CHAR(10), TRUE, IFERROR(FILTER(Register[Asset]&amp;" ("&amp;Register[CurHP]&amp;"/"&amp;Register[MaxHP]&amp;")", (Register[Location]="Comorragh")*(Register[Faction]="The Dvargir"), ""), ""))</f>
        <v/>
      </c>
      <c r="G8" s="19">
        <f>TEXTJOIN(CHAR(10), TRUE, IFERROR(FILTER(Register[Asset]&amp;" ("&amp;Register[CurHP]&amp;"/"&amp;Register[MaxHP]&amp;")", (Register[Location]="Comorragh")*(Register[Faction]="The Gnonmen"), ""), ""))</f>
        <v/>
      </c>
      <c r="H8" s="19">
        <f>TEXTJOIN(CHAR(10), TRUE, IFERROR(FILTER(Register[Asset]&amp;" ("&amp;Register[CurHP]&amp;"/"&amp;Register[MaxHP]&amp;")", (Register[Location]="Comorragh")*(Register[Faction]="The Substratals"), ""), ""))</f>
        <v/>
      </c>
      <c r="I8" s="19">
        <f>TEXTJOIN(CHAR(10), TRUE, IFERROR(FILTER(Register[Asset]&amp;" ("&amp;Register[CurHP]&amp;"/"&amp;Register[MaxHP]&amp;")", (Register[Location]="Comorragh")*(Register[Faction]="The Deep Janeen"), ""), ""))</f>
        <v/>
      </c>
      <c r="J8" s="19">
        <f>TEXTJOIN(CHAR(10), TRUE, IFERROR(FILTER(Register[Asset]&amp;" ("&amp;Register[CurHP]&amp;"/"&amp;Register[MaxHP]&amp;")", (Register[Location]="Comorragh")*(Register[Faction]="The Olm"), ""), ""))</f>
        <v/>
      </c>
    </row>
    <row r="9" ht="75" customHeight="1">
      <c r="A9" s="8" t="inlineStr">
        <is>
          <t>Piranesi</t>
        </is>
      </c>
      <c r="B9" s="17">
        <f>TEXTJOIN(CHAR(10), TRUE, IFERROR(FILTER(Register[Asset]&amp;" ("&amp;Register[CurHP]&amp;"/"&amp;Register[MaxHP]&amp;")", (Register[Location]="Piranesi")*(Register[Faction]="The Knotsmen"), ""), ""))</f>
        <v/>
      </c>
      <c r="C9" s="17">
        <f>TEXTJOIN(CHAR(10), TRUE, IFERROR(FILTER(Register[Asset]&amp;" ("&amp;Register[CurHP]&amp;"/"&amp;Register[MaxHP]&amp;")", (Register[Location]="Piranesi")*(Register[Faction]="The Aelf-Adal"), ""), ""))</f>
        <v/>
      </c>
      <c r="D9" s="17">
        <f>TEXTJOIN(CHAR(10), TRUE, IFERROR(FILTER(Register[Asset]&amp;" ("&amp;Register[CurHP]&amp;"/"&amp;Register[MaxHP]&amp;")", (Register[Location]="Piranesi")*(Register[Faction]="The Funginids"), ""), ""))</f>
        <v/>
      </c>
      <c r="E9" s="17">
        <f>TEXTJOIN(CHAR(10), TRUE, IFERROR(FILTER(Register[Asset]&amp;" ("&amp;Register[CurHP]&amp;"/"&amp;Register[MaxHP]&amp;")", (Register[Location]="Piranesi")*(Register[Faction]="The dErO"), ""), ""))</f>
        <v/>
      </c>
      <c r="F9" s="17">
        <f>TEXTJOIN(CHAR(10), TRUE, IFERROR(FILTER(Register[Asset]&amp;" ("&amp;Register[CurHP]&amp;"/"&amp;Register[MaxHP]&amp;")", (Register[Location]="Piranesi")*(Register[Faction]="The Dvargir"), ""), ""))</f>
        <v/>
      </c>
      <c r="G9" s="17">
        <f>TEXTJOIN(CHAR(10), TRUE, IFERROR(FILTER(Register[Asset]&amp;" ("&amp;Register[CurHP]&amp;"/"&amp;Register[MaxHP]&amp;")", (Register[Location]="Piranesi")*(Register[Faction]="The Gnonmen"), ""), ""))</f>
        <v/>
      </c>
      <c r="H9" s="17">
        <f>TEXTJOIN(CHAR(10), TRUE, IFERROR(FILTER(Register[Asset]&amp;" ("&amp;Register[CurHP]&amp;"/"&amp;Register[MaxHP]&amp;")", (Register[Location]="Piranesi")*(Register[Faction]="The Substratals"), ""), ""))</f>
        <v/>
      </c>
      <c r="I9" s="17">
        <f>TEXTJOIN(CHAR(10), TRUE, IFERROR(FILTER(Register[Asset]&amp;" ("&amp;Register[CurHP]&amp;"/"&amp;Register[MaxHP]&amp;")", (Register[Location]="Piranesi")*(Register[Faction]="The Deep Janeen"), ""), ""))</f>
        <v/>
      </c>
      <c r="J9" s="17">
        <f>TEXTJOIN(CHAR(10), TRUE, IFERROR(FILTER(Register[Asset]&amp;" ("&amp;Register[CurHP]&amp;"/"&amp;Register[MaxHP]&amp;")", (Register[Location]="Piranesi")*(Register[Faction]="The Olm"), ""), ""))</f>
        <v/>
      </c>
    </row>
    <row r="10" ht="75" customHeight="1">
      <c r="A10" s="18" t="inlineStr">
        <is>
          <t>Fever City Underground</t>
        </is>
      </c>
      <c r="B10" s="19">
        <f>TEXTJOIN(CHAR(10), TRUE, IFERROR(FILTER(Register[Asset]&amp;" ("&amp;Register[CurHP]&amp;"/"&amp;Register[MaxHP]&amp;")", (Register[Location]="Fever City Underground")*(Register[Faction]="The Knotsmen"), ""), ""))</f>
        <v/>
      </c>
      <c r="C10" s="19">
        <f>TEXTJOIN(CHAR(10), TRUE, IFERROR(FILTER(Register[Asset]&amp;" ("&amp;Register[CurHP]&amp;"/"&amp;Register[MaxHP]&amp;")", (Register[Location]="Fever City Underground")*(Register[Faction]="The Aelf-Adal"), ""), ""))</f>
        <v/>
      </c>
      <c r="D10" s="19">
        <f>TEXTJOIN(CHAR(10), TRUE, IFERROR(FILTER(Register[Asset]&amp;" ("&amp;Register[CurHP]&amp;"/"&amp;Register[MaxHP]&amp;")", (Register[Location]="Fever City Underground")*(Register[Faction]="The Funginids"), ""), ""))</f>
        <v/>
      </c>
      <c r="E10" s="19">
        <f>TEXTJOIN(CHAR(10), TRUE, IFERROR(FILTER(Register[Asset]&amp;" ("&amp;Register[CurHP]&amp;"/"&amp;Register[MaxHP]&amp;")", (Register[Location]="Fever City Underground")*(Register[Faction]="The dErO"), ""), ""))</f>
        <v/>
      </c>
      <c r="F10" s="19">
        <f>TEXTJOIN(CHAR(10), TRUE, IFERROR(FILTER(Register[Asset]&amp;" ("&amp;Register[CurHP]&amp;"/"&amp;Register[MaxHP]&amp;")", (Register[Location]="Fever City Underground")*(Register[Faction]="The Dvargir"), ""), ""))</f>
        <v/>
      </c>
      <c r="G10" s="19">
        <f>TEXTJOIN(CHAR(10), TRUE, IFERROR(FILTER(Register[Asset]&amp;" ("&amp;Register[CurHP]&amp;"/"&amp;Register[MaxHP]&amp;")", (Register[Location]="Fever City Underground")*(Register[Faction]="The Gnonmen"), ""), ""))</f>
        <v/>
      </c>
      <c r="H10" s="19">
        <f>TEXTJOIN(CHAR(10), TRUE, IFERROR(FILTER(Register[Asset]&amp;" ("&amp;Register[CurHP]&amp;"/"&amp;Register[MaxHP]&amp;")", (Register[Location]="Fever City Underground")*(Register[Faction]="The Substratals"), ""), ""))</f>
        <v/>
      </c>
      <c r="I10" s="19">
        <f>TEXTJOIN(CHAR(10), TRUE, IFERROR(FILTER(Register[Asset]&amp;" ("&amp;Register[CurHP]&amp;"/"&amp;Register[MaxHP]&amp;")", (Register[Location]="Fever City Underground")*(Register[Faction]="The Deep Janeen"), ""), ""))</f>
        <v/>
      </c>
      <c r="J10" s="19">
        <f>TEXTJOIN(CHAR(10), TRUE, IFERROR(FILTER(Register[Asset]&amp;" ("&amp;Register[CurHP]&amp;"/"&amp;Register[MaxHP]&amp;")", (Register[Location]="Fever City Underground")*(Register[Faction]="The Olm"), ""), ""))</f>
        <v/>
      </c>
    </row>
    <row r="11" ht="75" customHeight="1">
      <c r="A11" s="8" t="inlineStr">
        <is>
          <t>Genet</t>
        </is>
      </c>
      <c r="B11" s="17">
        <f>TEXTJOIN(CHAR(10), TRUE, IFERROR(FILTER(Register[Asset]&amp;" ("&amp;Register[CurHP]&amp;"/"&amp;Register[MaxHP]&amp;")", (Register[Location]="Genet")*(Register[Faction]="The Knotsmen"), ""), ""))</f>
        <v/>
      </c>
      <c r="C11" s="17">
        <f>TEXTJOIN(CHAR(10), TRUE, IFERROR(FILTER(Register[Asset]&amp;" ("&amp;Register[CurHP]&amp;"/"&amp;Register[MaxHP]&amp;")", (Register[Location]="Genet")*(Register[Faction]="The Aelf-Adal"), ""), ""))</f>
        <v/>
      </c>
      <c r="D11" s="17">
        <f>TEXTJOIN(CHAR(10), TRUE, IFERROR(FILTER(Register[Asset]&amp;" ("&amp;Register[CurHP]&amp;"/"&amp;Register[MaxHP]&amp;")", (Register[Location]="Genet")*(Register[Faction]="The Funginids"), ""), ""))</f>
        <v/>
      </c>
      <c r="E11" s="17">
        <f>TEXTJOIN(CHAR(10), TRUE, IFERROR(FILTER(Register[Asset]&amp;" ("&amp;Register[CurHP]&amp;"/"&amp;Register[MaxHP]&amp;")", (Register[Location]="Genet")*(Register[Faction]="The dErO"), ""), ""))</f>
        <v/>
      </c>
      <c r="F11" s="17">
        <f>TEXTJOIN(CHAR(10), TRUE, IFERROR(FILTER(Register[Asset]&amp;" ("&amp;Register[CurHP]&amp;"/"&amp;Register[MaxHP]&amp;")", (Register[Location]="Genet")*(Register[Faction]="The Dvargir"), ""), ""))</f>
        <v/>
      </c>
      <c r="G11" s="17">
        <f>TEXTJOIN(CHAR(10), TRUE, IFERROR(FILTER(Register[Asset]&amp;" ("&amp;Register[CurHP]&amp;"/"&amp;Register[MaxHP]&amp;")", (Register[Location]="Genet")*(Register[Faction]="The Gnonmen"), ""), ""))</f>
        <v/>
      </c>
      <c r="H11" s="17">
        <f>TEXTJOIN(CHAR(10), TRUE, IFERROR(FILTER(Register[Asset]&amp;" ("&amp;Register[CurHP]&amp;"/"&amp;Register[MaxHP]&amp;")", (Register[Location]="Genet")*(Register[Faction]="The Substratals"), ""), ""))</f>
        <v/>
      </c>
      <c r="I11" s="17">
        <f>TEXTJOIN(CHAR(10), TRUE, IFERROR(FILTER(Register[Asset]&amp;" ("&amp;Register[CurHP]&amp;"/"&amp;Register[MaxHP]&amp;")", (Register[Location]="Genet")*(Register[Faction]="The Deep Janeen"), ""), ""))</f>
        <v/>
      </c>
      <c r="J11" s="17">
        <f>TEXTJOIN(CHAR(10), TRUE, IFERROR(FILTER(Register[Asset]&amp;" ("&amp;Register[CurHP]&amp;"/"&amp;Register[MaxHP]&amp;")", (Register[Location]="Genet")*(Register[Faction]="The Olm"), ""), ""))</f>
        <v/>
      </c>
    </row>
    <row r="12" ht="75" customHeight="1">
      <c r="A12" s="18" t="inlineStr">
        <is>
          <t>Gordiam</t>
        </is>
      </c>
      <c r="B12" s="19">
        <f>TEXTJOIN(CHAR(10), TRUE, IFERROR(FILTER(Register[Asset]&amp;" ("&amp;Register[CurHP]&amp;"/"&amp;Register[MaxHP]&amp;")", (Register[Location]="Gordiam")*(Register[Faction]="The Knotsmen"), ""), ""))</f>
        <v/>
      </c>
      <c r="C12" s="19">
        <f>TEXTJOIN(CHAR(10), TRUE, IFERROR(FILTER(Register[Asset]&amp;" ("&amp;Register[CurHP]&amp;"/"&amp;Register[MaxHP]&amp;")", (Register[Location]="Gordiam")*(Register[Faction]="The Aelf-Adal"), ""), ""))</f>
        <v/>
      </c>
      <c r="D12" s="19">
        <f>TEXTJOIN(CHAR(10), TRUE, IFERROR(FILTER(Register[Asset]&amp;" ("&amp;Register[CurHP]&amp;"/"&amp;Register[MaxHP]&amp;")", (Register[Location]="Gordiam")*(Register[Faction]="The Funginids"), ""), ""))</f>
        <v/>
      </c>
      <c r="E12" s="19">
        <f>TEXTJOIN(CHAR(10), TRUE, IFERROR(FILTER(Register[Asset]&amp;" ("&amp;Register[CurHP]&amp;"/"&amp;Register[MaxHP]&amp;")", (Register[Location]="Gordiam")*(Register[Faction]="The dErO"), ""), ""))</f>
        <v/>
      </c>
      <c r="F12" s="19">
        <f>TEXTJOIN(CHAR(10), TRUE, IFERROR(FILTER(Register[Asset]&amp;" ("&amp;Register[CurHP]&amp;"/"&amp;Register[MaxHP]&amp;")", (Register[Location]="Gordiam")*(Register[Faction]="The Dvargir"), ""), ""))</f>
        <v/>
      </c>
      <c r="G12" s="19">
        <f>TEXTJOIN(CHAR(10), TRUE, IFERROR(FILTER(Register[Asset]&amp;" ("&amp;Register[CurHP]&amp;"/"&amp;Register[MaxHP]&amp;")", (Register[Location]="Gordiam")*(Register[Faction]="The Gnonmen"), ""), ""))</f>
        <v/>
      </c>
      <c r="H12" s="19">
        <f>TEXTJOIN(CHAR(10), TRUE, IFERROR(FILTER(Register[Asset]&amp;" ("&amp;Register[CurHP]&amp;"/"&amp;Register[MaxHP]&amp;")", (Register[Location]="Gordiam")*(Register[Faction]="The Substratals"), ""), ""))</f>
        <v/>
      </c>
      <c r="I12" s="19">
        <f>TEXTJOIN(CHAR(10), TRUE, IFERROR(FILTER(Register[Asset]&amp;" ("&amp;Register[CurHP]&amp;"/"&amp;Register[MaxHP]&amp;")", (Register[Location]="Gordiam")*(Register[Faction]="The Deep Janeen"), ""), ""))</f>
        <v/>
      </c>
      <c r="J12" s="19">
        <f>TEXTJOIN(CHAR(10), TRUE, IFERROR(FILTER(Register[Asset]&amp;" ("&amp;Register[CurHP]&amp;"/"&amp;Register[MaxHP]&amp;")", (Register[Location]="Gordiam")*(Register[Faction]="The Olm"), ""), ""))</f>
        <v/>
      </c>
    </row>
    <row r="13" ht="75" customHeight="1">
      <c r="A13" s="8" t="inlineStr">
        <is>
          <t>The Core</t>
        </is>
      </c>
      <c r="B13" s="17">
        <f>TEXTJOIN(CHAR(10), TRUE, IFERROR(FILTER(Register[Asset]&amp;" ("&amp;Register[CurHP]&amp;"/"&amp;Register[MaxHP]&amp;")", (Register[Location]="The Core")*(Register[Faction]="The Knotsmen"), ""), ""))</f>
        <v/>
      </c>
      <c r="C13" s="17">
        <f>TEXTJOIN(CHAR(10), TRUE, IFERROR(FILTER(Register[Asset]&amp;" ("&amp;Register[CurHP]&amp;"/"&amp;Register[MaxHP]&amp;")", (Register[Location]="The Core")*(Register[Faction]="The Aelf-Adal"), ""), ""))</f>
        <v/>
      </c>
      <c r="D13" s="17">
        <f>TEXTJOIN(CHAR(10), TRUE, IFERROR(FILTER(Register[Asset]&amp;" ("&amp;Register[CurHP]&amp;"/"&amp;Register[MaxHP]&amp;")", (Register[Location]="The Core")*(Register[Faction]="The Funginids"), ""), ""))</f>
        <v/>
      </c>
      <c r="E13" s="17">
        <f>TEXTJOIN(CHAR(10), TRUE, IFERROR(FILTER(Register[Asset]&amp;" ("&amp;Register[CurHP]&amp;"/"&amp;Register[MaxHP]&amp;")", (Register[Location]="The Core")*(Register[Faction]="The dErO"), ""), ""))</f>
        <v/>
      </c>
      <c r="F13" s="17">
        <f>TEXTJOIN(CHAR(10), TRUE, IFERROR(FILTER(Register[Asset]&amp;" ("&amp;Register[CurHP]&amp;"/"&amp;Register[MaxHP]&amp;")", (Register[Location]="The Core")*(Register[Faction]="The Dvargir"), ""), ""))</f>
        <v/>
      </c>
      <c r="G13" s="17">
        <f>TEXTJOIN(CHAR(10), TRUE, IFERROR(FILTER(Register[Asset]&amp;" ("&amp;Register[CurHP]&amp;"/"&amp;Register[MaxHP]&amp;")", (Register[Location]="The Core")*(Register[Faction]="The Gnonmen"), ""), ""))</f>
        <v/>
      </c>
      <c r="H13" s="17">
        <f>TEXTJOIN(CHAR(10), TRUE, IFERROR(FILTER(Register[Asset]&amp;" ("&amp;Register[CurHP]&amp;"/"&amp;Register[MaxHP]&amp;")", (Register[Location]="The Core")*(Register[Faction]="The Substratals"), ""), ""))</f>
        <v/>
      </c>
      <c r="I13" s="17">
        <f>TEXTJOIN(CHAR(10), TRUE, IFERROR(FILTER(Register[Asset]&amp;" ("&amp;Register[CurHP]&amp;"/"&amp;Register[MaxHP]&amp;")", (Register[Location]="The Core")*(Register[Faction]="The Deep Janeen"), ""), ""))</f>
        <v/>
      </c>
      <c r="J13" s="17">
        <f>TEXTJOIN(CHAR(10), TRUE, IFERROR(FILTER(Register[Asset]&amp;" ("&amp;Register[CurHP]&amp;"/"&amp;Register[MaxHP]&amp;")", (Register[Location]="The Core")*(Register[Faction]="The Olm"), ""), ""))</f>
        <v/>
      </c>
    </row>
    <row r="14" ht="75" customHeight="1">
      <c r="A14" s="18" t="inlineStr">
        <is>
          <t>Heliotropolis</t>
        </is>
      </c>
      <c r="B14" s="19">
        <f>TEXTJOIN(CHAR(10), TRUE, IFERROR(FILTER(Register[Asset]&amp;" ("&amp;Register[CurHP]&amp;"/"&amp;Register[MaxHP]&amp;")", (Register[Location]="Heliotropolis")*(Register[Faction]="The Knotsmen"), ""), ""))</f>
        <v/>
      </c>
      <c r="C14" s="19">
        <f>TEXTJOIN(CHAR(10), TRUE, IFERROR(FILTER(Register[Asset]&amp;" ("&amp;Register[CurHP]&amp;"/"&amp;Register[MaxHP]&amp;")", (Register[Location]="Heliotropolis")*(Register[Faction]="The Aelf-Adal"), ""), ""))</f>
        <v/>
      </c>
      <c r="D14" s="19">
        <f>TEXTJOIN(CHAR(10), TRUE, IFERROR(FILTER(Register[Asset]&amp;" ("&amp;Register[CurHP]&amp;"/"&amp;Register[MaxHP]&amp;")", (Register[Location]="Heliotropolis")*(Register[Faction]="The Funginids"), ""), ""))</f>
        <v/>
      </c>
      <c r="E14" s="19">
        <f>TEXTJOIN(CHAR(10), TRUE, IFERROR(FILTER(Register[Asset]&amp;" ("&amp;Register[CurHP]&amp;"/"&amp;Register[MaxHP]&amp;")", (Register[Location]="Heliotropolis")*(Register[Faction]="The dErO"), ""), ""))</f>
        <v/>
      </c>
      <c r="F14" s="19">
        <f>TEXTJOIN(CHAR(10), TRUE, IFERROR(FILTER(Register[Asset]&amp;" ("&amp;Register[CurHP]&amp;"/"&amp;Register[MaxHP]&amp;")", (Register[Location]="Heliotropolis")*(Register[Faction]="The Dvargir"), ""), ""))</f>
        <v/>
      </c>
      <c r="G14" s="19">
        <f>TEXTJOIN(CHAR(10), TRUE, IFERROR(FILTER(Register[Asset]&amp;" ("&amp;Register[CurHP]&amp;"/"&amp;Register[MaxHP]&amp;")", (Register[Location]="Heliotropolis")*(Register[Faction]="The Gnonmen"), ""), ""))</f>
        <v/>
      </c>
      <c r="H14" s="19">
        <f>TEXTJOIN(CHAR(10), TRUE, IFERROR(FILTER(Register[Asset]&amp;" ("&amp;Register[CurHP]&amp;"/"&amp;Register[MaxHP]&amp;")", (Register[Location]="Heliotropolis")*(Register[Faction]="The Substratals"), ""), ""))</f>
        <v/>
      </c>
      <c r="I14" s="19">
        <f>TEXTJOIN(CHAR(10), TRUE, IFERROR(FILTER(Register[Asset]&amp;" ("&amp;Register[CurHP]&amp;"/"&amp;Register[MaxHP]&amp;")", (Register[Location]="Heliotropolis")*(Register[Faction]="The Deep Janeen"), ""), ""))</f>
        <v/>
      </c>
      <c r="J14" s="19">
        <f>TEXTJOIN(CHAR(10), TRUE, IFERROR(FILTER(Register[Asset]&amp;" ("&amp;Register[CurHP]&amp;"/"&amp;Register[MaxHP]&amp;")", (Register[Location]="Heliotropolis")*(Register[Faction]="The Olm"), ""), ""))</f>
        <v/>
      </c>
    </row>
  </sheetData>
  <mergeCells count="2">
    <mergeCell ref="A1:J1"/>
    <mergeCell ref="A2:J2"/>
  </mergeCells>
  <pageMargins left="0.75" right="0.75" top="1" bottom="1" header="0.5" footer="0.5"/>
</worksheet>
</file>

<file path=xl/worksheets/sheet22.xml><?xml version="1.0" encoding="utf-8"?>
<worksheet xmlns="http://schemas.openxmlformats.org/spreadsheetml/2006/main">
  <sheetPr>
    <tabColor rgb="00C0504D"/>
    <outlinePr summaryBelow="1" summaryRight="1"/>
    <pageSetUpPr/>
  </sheetPr>
  <dimension ref="A1:J18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4" customWidth="1" min="5" max="5"/>
    <col width="22" customWidth="1" min="6" max="6"/>
    <col width="26" customWidth="1" min="7" max="7"/>
    <col width="22" customWidth="1" min="8" max="8"/>
    <col width="12" customWidth="1" min="9" max="9"/>
    <col width="30" customWidth="1" min="10" max="10"/>
  </cols>
  <sheetData>
    <row r="1" ht="24" customHeight="1">
      <c r="A1" s="1" t="inlineStr">
        <is>
          <t>Action Sheet — each faction's chosen action, turn by turn</t>
        </is>
      </c>
    </row>
    <row r="2" ht="30" customHeight="1">
      <c r="A2" s="7" t="inlineStr">
        <is>
          <t>One row per (turn × faction). The Acting Asset and Asset to Create dropdowns are filtered to that faction's possibilities (its current assets / what it currently qualifies for and can afford). Treasure Spent feeds the Turn Summary's bookkeeping.</t>
        </is>
      </c>
    </row>
    <row r="3">
      <c r="A3" s="16" t="inlineStr">
        <is>
          <t>Turn</t>
        </is>
      </c>
      <c r="B3" s="16" t="inlineStr">
        <is>
          <t>Faction</t>
        </is>
      </c>
      <c r="C3" s="16" t="inlineStr">
        <is>
          <t>Treasure (start)</t>
        </is>
      </c>
      <c r="D3" s="16" t="inlineStr">
        <is>
          <t>Action</t>
        </is>
      </c>
      <c r="E3" s="16" t="inlineStr">
        <is>
          <t>Acting Asset</t>
        </is>
      </c>
      <c r="F3" s="16" t="inlineStr">
        <is>
          <t>Asset to Create</t>
        </is>
      </c>
      <c r="G3" s="16" t="inlineStr">
        <is>
          <t>Destination / Target Location</t>
        </is>
      </c>
      <c r="H3" s="16" t="inlineStr">
        <is>
          <t>Target Asset</t>
        </is>
      </c>
      <c r="I3" s="16" t="inlineStr">
        <is>
          <t>Treasure Spent</t>
        </is>
      </c>
      <c r="J3" s="16" t="inlineStr">
        <is>
          <t>Notes</t>
        </is>
      </c>
    </row>
    <row r="4">
      <c r="A4" s="20" t="n">
        <v>1</v>
      </c>
      <c r="B4" s="21" t="inlineStr">
        <is>
          <t>The Knotsmen</t>
        </is>
      </c>
      <c r="C4" s="22">
        <f>'Turn Summary'!C5</f>
        <v/>
      </c>
      <c r="D4" s="22" t="n"/>
      <c r="E4" s="22" t="n"/>
      <c r="F4" s="22" t="n"/>
      <c r="G4" s="22" t="n"/>
      <c r="H4" s="22" t="n"/>
      <c r="I4" s="22" t="n"/>
      <c r="J4" s="22" t="n"/>
    </row>
    <row r="5">
      <c r="A5" s="20" t="n">
        <v>1</v>
      </c>
      <c r="B5" s="21" t="inlineStr">
        <is>
          <t>The Aelf-Adal</t>
        </is>
      </c>
      <c r="C5" s="22">
        <f>'Turn Summary'!C6</f>
        <v/>
      </c>
      <c r="D5" s="22" t="n"/>
      <c r="E5" s="22" t="n"/>
      <c r="F5" s="22" t="n"/>
      <c r="G5" s="22" t="n"/>
      <c r="H5" s="22" t="n"/>
      <c r="I5" s="22" t="n"/>
      <c r="J5" s="22" t="n"/>
    </row>
    <row r="6">
      <c r="A6" s="20" t="n">
        <v>1</v>
      </c>
      <c r="B6" s="21" t="inlineStr">
        <is>
          <t>The Funginids</t>
        </is>
      </c>
      <c r="C6" s="22">
        <f>'Turn Summary'!C7</f>
        <v/>
      </c>
      <c r="D6" s="22" t="n"/>
      <c r="E6" s="22" t="n"/>
      <c r="F6" s="22" t="n"/>
      <c r="G6" s="22" t="n"/>
      <c r="H6" s="22" t="n"/>
      <c r="I6" s="22" t="n"/>
      <c r="J6" s="22" t="n"/>
    </row>
    <row r="7">
      <c r="A7" s="20" t="n">
        <v>1</v>
      </c>
      <c r="B7" s="21" t="inlineStr">
        <is>
          <t>The dErO</t>
        </is>
      </c>
      <c r="C7" s="22">
        <f>'Turn Summary'!C8</f>
        <v/>
      </c>
      <c r="D7" s="22" t="n"/>
      <c r="E7" s="22" t="n"/>
      <c r="F7" s="22" t="n"/>
      <c r="G7" s="22" t="n"/>
      <c r="H7" s="22" t="n"/>
      <c r="I7" s="22" t="n"/>
      <c r="J7" s="22" t="n"/>
    </row>
    <row r="8">
      <c r="A8" s="20" t="n">
        <v>1</v>
      </c>
      <c r="B8" s="21" t="inlineStr">
        <is>
          <t>The Dvargir</t>
        </is>
      </c>
      <c r="C8" s="22">
        <f>'Turn Summary'!C9</f>
        <v/>
      </c>
      <c r="D8" s="22" t="n"/>
      <c r="E8" s="22" t="n"/>
      <c r="F8" s="22" t="n"/>
      <c r="G8" s="22" t="n"/>
      <c r="H8" s="22" t="n"/>
      <c r="I8" s="22" t="n"/>
      <c r="J8" s="22" t="n"/>
    </row>
    <row r="9">
      <c r="A9" s="20" t="n">
        <v>1</v>
      </c>
      <c r="B9" s="21" t="inlineStr">
        <is>
          <t>The Gnonmen</t>
        </is>
      </c>
      <c r="C9" s="22">
        <f>'Turn Summary'!C10</f>
        <v/>
      </c>
      <c r="D9" s="22" t="n"/>
      <c r="E9" s="22" t="n"/>
      <c r="F9" s="22" t="n"/>
      <c r="G9" s="22" t="n"/>
      <c r="H9" s="22" t="n"/>
      <c r="I9" s="22" t="n"/>
      <c r="J9" s="22" t="n"/>
    </row>
    <row r="10">
      <c r="A10" s="20" t="n">
        <v>1</v>
      </c>
      <c r="B10" s="21" t="inlineStr">
        <is>
          <t>The Substratals</t>
        </is>
      </c>
      <c r="C10" s="22">
        <f>'Turn Summary'!C11</f>
        <v/>
      </c>
      <c r="D10" s="22" t="n"/>
      <c r="E10" s="22" t="n"/>
      <c r="F10" s="22" t="n"/>
      <c r="G10" s="22" t="n"/>
      <c r="H10" s="22" t="n"/>
      <c r="I10" s="22" t="n"/>
      <c r="J10" s="22" t="n"/>
    </row>
    <row r="11">
      <c r="A11" s="20" t="n">
        <v>1</v>
      </c>
      <c r="B11" s="21" t="inlineStr">
        <is>
          <t>The Deep Janeen</t>
        </is>
      </c>
      <c r="C11" s="22">
        <f>'Turn Summary'!C12</f>
        <v/>
      </c>
      <c r="D11" s="22" t="n"/>
      <c r="E11" s="22" t="n"/>
      <c r="F11" s="22" t="n"/>
      <c r="G11" s="22" t="n"/>
      <c r="H11" s="22" t="n"/>
      <c r="I11" s="22" t="n"/>
      <c r="J11" s="22" t="n"/>
    </row>
    <row r="12">
      <c r="A12" s="20" t="n">
        <v>1</v>
      </c>
      <c r="B12" s="21" t="inlineStr">
        <is>
          <t>The Olm</t>
        </is>
      </c>
      <c r="C12" s="22">
        <f>'Turn Summary'!C13</f>
        <v/>
      </c>
      <c r="D12" s="22" t="n"/>
      <c r="E12" s="22" t="n"/>
      <c r="F12" s="22" t="n"/>
      <c r="G12" s="22" t="n"/>
      <c r="H12" s="22" t="n"/>
      <c r="I12" s="22" t="n"/>
      <c r="J12" s="22" t="n"/>
    </row>
    <row r="13">
      <c r="A13" s="23" t="n">
        <v>2</v>
      </c>
      <c r="B13" s="24" t="inlineStr">
        <is>
          <t>The Knotsmen</t>
        </is>
      </c>
      <c r="C13" s="25">
        <f>'Turn Summary'!C14</f>
        <v/>
      </c>
      <c r="D13" s="25" t="n"/>
      <c r="E13" s="25" t="n"/>
      <c r="F13" s="25" t="n"/>
      <c r="G13" s="25" t="n"/>
      <c r="H13" s="25" t="n"/>
      <c r="I13" s="25" t="n"/>
      <c r="J13" s="25" t="n"/>
    </row>
    <row r="14">
      <c r="A14" s="23" t="n">
        <v>2</v>
      </c>
      <c r="B14" s="24" t="inlineStr">
        <is>
          <t>The Aelf-Adal</t>
        </is>
      </c>
      <c r="C14" s="25">
        <f>'Turn Summary'!C15</f>
        <v/>
      </c>
      <c r="D14" s="25" t="n"/>
      <c r="E14" s="25" t="n"/>
      <c r="F14" s="25" t="n"/>
      <c r="G14" s="25" t="n"/>
      <c r="H14" s="25" t="n"/>
      <c r="I14" s="25" t="n"/>
      <c r="J14" s="25" t="n"/>
    </row>
    <row r="15">
      <c r="A15" s="23" t="n">
        <v>2</v>
      </c>
      <c r="B15" s="24" t="inlineStr">
        <is>
          <t>The Funginids</t>
        </is>
      </c>
      <c r="C15" s="25">
        <f>'Turn Summary'!C16</f>
        <v/>
      </c>
      <c r="D15" s="25" t="n"/>
      <c r="E15" s="25" t="n"/>
      <c r="F15" s="25" t="n"/>
      <c r="G15" s="25" t="n"/>
      <c r="H15" s="25" t="n"/>
      <c r="I15" s="25" t="n"/>
      <c r="J15" s="25" t="n"/>
    </row>
    <row r="16">
      <c r="A16" s="23" t="n">
        <v>2</v>
      </c>
      <c r="B16" s="24" t="inlineStr">
        <is>
          <t>The dErO</t>
        </is>
      </c>
      <c r="C16" s="25">
        <f>'Turn Summary'!C17</f>
        <v/>
      </c>
      <c r="D16" s="25" t="n"/>
      <c r="E16" s="25" t="n"/>
      <c r="F16" s="25" t="n"/>
      <c r="G16" s="25" t="n"/>
      <c r="H16" s="25" t="n"/>
      <c r="I16" s="25" t="n"/>
      <c r="J16" s="25" t="n"/>
    </row>
    <row r="17">
      <c r="A17" s="23" t="n">
        <v>2</v>
      </c>
      <c r="B17" s="24" t="inlineStr">
        <is>
          <t>The Dvargir</t>
        </is>
      </c>
      <c r="C17" s="25">
        <f>'Turn Summary'!C18</f>
        <v/>
      </c>
      <c r="D17" s="25" t="n"/>
      <c r="E17" s="25" t="n"/>
      <c r="F17" s="25" t="n"/>
      <c r="G17" s="25" t="n"/>
      <c r="H17" s="25" t="n"/>
      <c r="I17" s="25" t="n"/>
      <c r="J17" s="25" t="n"/>
    </row>
    <row r="18">
      <c r="A18" s="23" t="n">
        <v>2</v>
      </c>
      <c r="B18" s="24" t="inlineStr">
        <is>
          <t>The Gnonmen</t>
        </is>
      </c>
      <c r="C18" s="25">
        <f>'Turn Summary'!C19</f>
        <v/>
      </c>
      <c r="D18" s="25" t="n"/>
      <c r="E18" s="25" t="n"/>
      <c r="F18" s="25" t="n"/>
      <c r="G18" s="25" t="n"/>
      <c r="H18" s="25" t="n"/>
      <c r="I18" s="25" t="n"/>
      <c r="J18" s="25" t="n"/>
    </row>
    <row r="19">
      <c r="A19" s="23" t="n">
        <v>2</v>
      </c>
      <c r="B19" s="24" t="inlineStr">
        <is>
          <t>The Substratals</t>
        </is>
      </c>
      <c r="C19" s="25">
        <f>'Turn Summary'!C20</f>
        <v/>
      </c>
      <c r="D19" s="25" t="n"/>
      <c r="E19" s="25" t="n"/>
      <c r="F19" s="25" t="n"/>
      <c r="G19" s="25" t="n"/>
      <c r="H19" s="25" t="n"/>
      <c r="I19" s="25" t="n"/>
      <c r="J19" s="25" t="n"/>
    </row>
    <row r="20">
      <c r="A20" s="23" t="n">
        <v>2</v>
      </c>
      <c r="B20" s="24" t="inlineStr">
        <is>
          <t>The Deep Janeen</t>
        </is>
      </c>
      <c r="C20" s="25">
        <f>'Turn Summary'!C21</f>
        <v/>
      </c>
      <c r="D20" s="25" t="n"/>
      <c r="E20" s="25" t="n"/>
      <c r="F20" s="25" t="n"/>
      <c r="G20" s="25" t="n"/>
      <c r="H20" s="25" t="n"/>
      <c r="I20" s="25" t="n"/>
      <c r="J20" s="25" t="n"/>
    </row>
    <row r="21">
      <c r="A21" s="23" t="n">
        <v>2</v>
      </c>
      <c r="B21" s="24" t="inlineStr">
        <is>
          <t>The Olm</t>
        </is>
      </c>
      <c r="C21" s="25">
        <f>'Turn Summary'!C22</f>
        <v/>
      </c>
      <c r="D21" s="25" t="n"/>
      <c r="E21" s="25" t="n"/>
      <c r="F21" s="25" t="n"/>
      <c r="G21" s="25" t="n"/>
      <c r="H21" s="25" t="n"/>
      <c r="I21" s="25" t="n"/>
      <c r="J21" s="25" t="n"/>
    </row>
    <row r="22">
      <c r="A22" s="20" t="n">
        <v>3</v>
      </c>
      <c r="B22" s="21" t="inlineStr">
        <is>
          <t>The Knotsmen</t>
        </is>
      </c>
      <c r="C22" s="22">
        <f>'Turn Summary'!C23</f>
        <v/>
      </c>
      <c r="D22" s="22" t="n"/>
      <c r="E22" s="22" t="n"/>
      <c r="F22" s="22" t="n"/>
      <c r="G22" s="22" t="n"/>
      <c r="H22" s="22" t="n"/>
      <c r="I22" s="22" t="n"/>
      <c r="J22" s="22" t="n"/>
    </row>
    <row r="23">
      <c r="A23" s="20" t="n">
        <v>3</v>
      </c>
      <c r="B23" s="21" t="inlineStr">
        <is>
          <t>The Aelf-Adal</t>
        </is>
      </c>
      <c r="C23" s="22">
        <f>'Turn Summary'!C24</f>
        <v/>
      </c>
      <c r="D23" s="22" t="n"/>
      <c r="E23" s="22" t="n"/>
      <c r="F23" s="22" t="n"/>
      <c r="G23" s="22" t="n"/>
      <c r="H23" s="22" t="n"/>
      <c r="I23" s="22" t="n"/>
      <c r="J23" s="22" t="n"/>
    </row>
    <row r="24">
      <c r="A24" s="20" t="n">
        <v>3</v>
      </c>
      <c r="B24" s="21" t="inlineStr">
        <is>
          <t>The Funginids</t>
        </is>
      </c>
      <c r="C24" s="22">
        <f>'Turn Summary'!C25</f>
        <v/>
      </c>
      <c r="D24" s="22" t="n"/>
      <c r="E24" s="22" t="n"/>
      <c r="F24" s="22" t="n"/>
      <c r="G24" s="22" t="n"/>
      <c r="H24" s="22" t="n"/>
      <c r="I24" s="22" t="n"/>
      <c r="J24" s="22" t="n"/>
    </row>
    <row r="25">
      <c r="A25" s="20" t="n">
        <v>3</v>
      </c>
      <c r="B25" s="21" t="inlineStr">
        <is>
          <t>The dErO</t>
        </is>
      </c>
      <c r="C25" s="22">
        <f>'Turn Summary'!C26</f>
        <v/>
      </c>
      <c r="D25" s="22" t="n"/>
      <c r="E25" s="22" t="n"/>
      <c r="F25" s="22" t="n"/>
      <c r="G25" s="22" t="n"/>
      <c r="H25" s="22" t="n"/>
      <c r="I25" s="22" t="n"/>
      <c r="J25" s="22" t="n"/>
    </row>
    <row r="26">
      <c r="A26" s="20" t="n">
        <v>3</v>
      </c>
      <c r="B26" s="21" t="inlineStr">
        <is>
          <t>The Dvargir</t>
        </is>
      </c>
      <c r="C26" s="22">
        <f>'Turn Summary'!C27</f>
        <v/>
      </c>
      <c r="D26" s="22" t="n"/>
      <c r="E26" s="22" t="n"/>
      <c r="F26" s="22" t="n"/>
      <c r="G26" s="22" t="n"/>
      <c r="H26" s="22" t="n"/>
      <c r="I26" s="22" t="n"/>
      <c r="J26" s="22" t="n"/>
    </row>
    <row r="27">
      <c r="A27" s="20" t="n">
        <v>3</v>
      </c>
      <c r="B27" s="21" t="inlineStr">
        <is>
          <t>The Gnonmen</t>
        </is>
      </c>
      <c r="C27" s="22">
        <f>'Turn Summary'!C28</f>
        <v/>
      </c>
      <c r="D27" s="22" t="n"/>
      <c r="E27" s="22" t="n"/>
      <c r="F27" s="22" t="n"/>
      <c r="G27" s="22" t="n"/>
      <c r="H27" s="22" t="n"/>
      <c r="I27" s="22" t="n"/>
      <c r="J27" s="22" t="n"/>
    </row>
    <row r="28">
      <c r="A28" s="20" t="n">
        <v>3</v>
      </c>
      <c r="B28" s="21" t="inlineStr">
        <is>
          <t>The Substratals</t>
        </is>
      </c>
      <c r="C28" s="22">
        <f>'Turn Summary'!C29</f>
        <v/>
      </c>
      <c r="D28" s="22" t="n"/>
      <c r="E28" s="22" t="n"/>
      <c r="F28" s="22" t="n"/>
      <c r="G28" s="22" t="n"/>
      <c r="H28" s="22" t="n"/>
      <c r="I28" s="22" t="n"/>
      <c r="J28" s="22" t="n"/>
    </row>
    <row r="29">
      <c r="A29" s="20" t="n">
        <v>3</v>
      </c>
      <c r="B29" s="21" t="inlineStr">
        <is>
          <t>The Deep Janeen</t>
        </is>
      </c>
      <c r="C29" s="22">
        <f>'Turn Summary'!C30</f>
        <v/>
      </c>
      <c r="D29" s="22" t="n"/>
      <c r="E29" s="22" t="n"/>
      <c r="F29" s="22" t="n"/>
      <c r="G29" s="22" t="n"/>
      <c r="H29" s="22" t="n"/>
      <c r="I29" s="22" t="n"/>
      <c r="J29" s="22" t="n"/>
    </row>
    <row r="30">
      <c r="A30" s="20" t="n">
        <v>3</v>
      </c>
      <c r="B30" s="21" t="inlineStr">
        <is>
          <t>The Olm</t>
        </is>
      </c>
      <c r="C30" s="22">
        <f>'Turn Summary'!C31</f>
        <v/>
      </c>
      <c r="D30" s="22" t="n"/>
      <c r="E30" s="22" t="n"/>
      <c r="F30" s="22" t="n"/>
      <c r="G30" s="22" t="n"/>
      <c r="H30" s="22" t="n"/>
      <c r="I30" s="22" t="n"/>
      <c r="J30" s="22" t="n"/>
    </row>
    <row r="31">
      <c r="A31" s="23" t="n">
        <v>4</v>
      </c>
      <c r="B31" s="24" t="inlineStr">
        <is>
          <t>The Knotsmen</t>
        </is>
      </c>
      <c r="C31" s="25">
        <f>'Turn Summary'!C32</f>
        <v/>
      </c>
      <c r="D31" s="25" t="n"/>
      <c r="E31" s="25" t="n"/>
      <c r="F31" s="25" t="n"/>
      <c r="G31" s="25" t="n"/>
      <c r="H31" s="25" t="n"/>
      <c r="I31" s="25" t="n"/>
      <c r="J31" s="25" t="n"/>
    </row>
    <row r="32">
      <c r="A32" s="23" t="n">
        <v>4</v>
      </c>
      <c r="B32" s="24" t="inlineStr">
        <is>
          <t>The Aelf-Adal</t>
        </is>
      </c>
      <c r="C32" s="25">
        <f>'Turn Summary'!C33</f>
        <v/>
      </c>
      <c r="D32" s="25" t="n"/>
      <c r="E32" s="25" t="n"/>
      <c r="F32" s="25" t="n"/>
      <c r="G32" s="25" t="n"/>
      <c r="H32" s="25" t="n"/>
      <c r="I32" s="25" t="n"/>
      <c r="J32" s="25" t="n"/>
    </row>
    <row r="33">
      <c r="A33" s="23" t="n">
        <v>4</v>
      </c>
      <c r="B33" s="24" t="inlineStr">
        <is>
          <t>The Funginids</t>
        </is>
      </c>
      <c r="C33" s="25">
        <f>'Turn Summary'!C34</f>
        <v/>
      </c>
      <c r="D33" s="25" t="n"/>
      <c r="E33" s="25" t="n"/>
      <c r="F33" s="25" t="n"/>
      <c r="G33" s="25" t="n"/>
      <c r="H33" s="25" t="n"/>
      <c r="I33" s="25" t="n"/>
      <c r="J33" s="25" t="n"/>
    </row>
    <row r="34">
      <c r="A34" s="23" t="n">
        <v>4</v>
      </c>
      <c r="B34" s="24" t="inlineStr">
        <is>
          <t>The dErO</t>
        </is>
      </c>
      <c r="C34" s="25">
        <f>'Turn Summary'!C35</f>
        <v/>
      </c>
      <c r="D34" s="25" t="n"/>
      <c r="E34" s="25" t="n"/>
      <c r="F34" s="25" t="n"/>
      <c r="G34" s="25" t="n"/>
      <c r="H34" s="25" t="n"/>
      <c r="I34" s="25" t="n"/>
      <c r="J34" s="25" t="n"/>
    </row>
    <row r="35">
      <c r="A35" s="23" t="n">
        <v>4</v>
      </c>
      <c r="B35" s="24" t="inlineStr">
        <is>
          <t>The Dvargir</t>
        </is>
      </c>
      <c r="C35" s="25">
        <f>'Turn Summary'!C36</f>
        <v/>
      </c>
      <c r="D35" s="25" t="n"/>
      <c r="E35" s="25" t="n"/>
      <c r="F35" s="25" t="n"/>
      <c r="G35" s="25" t="n"/>
      <c r="H35" s="25" t="n"/>
      <c r="I35" s="25" t="n"/>
      <c r="J35" s="25" t="n"/>
    </row>
    <row r="36">
      <c r="A36" s="23" t="n">
        <v>4</v>
      </c>
      <c r="B36" s="24" t="inlineStr">
        <is>
          <t>The Gnonmen</t>
        </is>
      </c>
      <c r="C36" s="25">
        <f>'Turn Summary'!C37</f>
        <v/>
      </c>
      <c r="D36" s="25" t="n"/>
      <c r="E36" s="25" t="n"/>
      <c r="F36" s="25" t="n"/>
      <c r="G36" s="25" t="n"/>
      <c r="H36" s="25" t="n"/>
      <c r="I36" s="25" t="n"/>
      <c r="J36" s="25" t="n"/>
    </row>
    <row r="37">
      <c r="A37" s="23" t="n">
        <v>4</v>
      </c>
      <c r="B37" s="24" t="inlineStr">
        <is>
          <t>The Substratals</t>
        </is>
      </c>
      <c r="C37" s="25">
        <f>'Turn Summary'!C38</f>
        <v/>
      </c>
      <c r="D37" s="25" t="n"/>
      <c r="E37" s="25" t="n"/>
      <c r="F37" s="25" t="n"/>
      <c r="G37" s="25" t="n"/>
      <c r="H37" s="25" t="n"/>
      <c r="I37" s="25" t="n"/>
      <c r="J37" s="25" t="n"/>
    </row>
    <row r="38">
      <c r="A38" s="23" t="n">
        <v>4</v>
      </c>
      <c r="B38" s="24" t="inlineStr">
        <is>
          <t>The Deep Janeen</t>
        </is>
      </c>
      <c r="C38" s="25">
        <f>'Turn Summary'!C39</f>
        <v/>
      </c>
      <c r="D38" s="25" t="n"/>
      <c r="E38" s="25" t="n"/>
      <c r="F38" s="25" t="n"/>
      <c r="G38" s="25" t="n"/>
      <c r="H38" s="25" t="n"/>
      <c r="I38" s="25" t="n"/>
      <c r="J38" s="25" t="n"/>
    </row>
    <row r="39">
      <c r="A39" s="23" t="n">
        <v>4</v>
      </c>
      <c r="B39" s="24" t="inlineStr">
        <is>
          <t>The Olm</t>
        </is>
      </c>
      <c r="C39" s="25">
        <f>'Turn Summary'!C40</f>
        <v/>
      </c>
      <c r="D39" s="25" t="n"/>
      <c r="E39" s="25" t="n"/>
      <c r="F39" s="25" t="n"/>
      <c r="G39" s="25" t="n"/>
      <c r="H39" s="25" t="n"/>
      <c r="I39" s="25" t="n"/>
      <c r="J39" s="25" t="n"/>
    </row>
    <row r="40">
      <c r="A40" s="20" t="n">
        <v>5</v>
      </c>
      <c r="B40" s="21" t="inlineStr">
        <is>
          <t>The Knotsmen</t>
        </is>
      </c>
      <c r="C40" s="22">
        <f>'Turn Summary'!C41</f>
        <v/>
      </c>
      <c r="D40" s="22" t="n"/>
      <c r="E40" s="22" t="n"/>
      <c r="F40" s="22" t="n"/>
      <c r="G40" s="22" t="n"/>
      <c r="H40" s="22" t="n"/>
      <c r="I40" s="22" t="n"/>
      <c r="J40" s="22" t="n"/>
    </row>
    <row r="41">
      <c r="A41" s="20" t="n">
        <v>5</v>
      </c>
      <c r="B41" s="21" t="inlineStr">
        <is>
          <t>The Aelf-Adal</t>
        </is>
      </c>
      <c r="C41" s="22">
        <f>'Turn Summary'!C42</f>
        <v/>
      </c>
      <c r="D41" s="22" t="n"/>
      <c r="E41" s="22" t="n"/>
      <c r="F41" s="22" t="n"/>
      <c r="G41" s="22" t="n"/>
      <c r="H41" s="22" t="n"/>
      <c r="I41" s="22" t="n"/>
      <c r="J41" s="22" t="n"/>
    </row>
    <row r="42">
      <c r="A42" s="20" t="n">
        <v>5</v>
      </c>
      <c r="B42" s="21" t="inlineStr">
        <is>
          <t>The Funginids</t>
        </is>
      </c>
      <c r="C42" s="22">
        <f>'Turn Summary'!C43</f>
        <v/>
      </c>
      <c r="D42" s="22" t="n"/>
      <c r="E42" s="22" t="n"/>
      <c r="F42" s="22" t="n"/>
      <c r="G42" s="22" t="n"/>
      <c r="H42" s="22" t="n"/>
      <c r="I42" s="22" t="n"/>
      <c r="J42" s="22" t="n"/>
    </row>
    <row r="43">
      <c r="A43" s="20" t="n">
        <v>5</v>
      </c>
      <c r="B43" s="21" t="inlineStr">
        <is>
          <t>The dErO</t>
        </is>
      </c>
      <c r="C43" s="22">
        <f>'Turn Summary'!C44</f>
        <v/>
      </c>
      <c r="D43" s="22" t="n"/>
      <c r="E43" s="22" t="n"/>
      <c r="F43" s="22" t="n"/>
      <c r="G43" s="22" t="n"/>
      <c r="H43" s="22" t="n"/>
      <c r="I43" s="22" t="n"/>
      <c r="J43" s="22" t="n"/>
    </row>
    <row r="44">
      <c r="A44" s="20" t="n">
        <v>5</v>
      </c>
      <c r="B44" s="21" t="inlineStr">
        <is>
          <t>The Dvargir</t>
        </is>
      </c>
      <c r="C44" s="22">
        <f>'Turn Summary'!C45</f>
        <v/>
      </c>
      <c r="D44" s="22" t="n"/>
      <c r="E44" s="22" t="n"/>
      <c r="F44" s="22" t="n"/>
      <c r="G44" s="22" t="n"/>
      <c r="H44" s="22" t="n"/>
      <c r="I44" s="22" t="n"/>
      <c r="J44" s="22" t="n"/>
    </row>
    <row r="45">
      <c r="A45" s="20" t="n">
        <v>5</v>
      </c>
      <c r="B45" s="21" t="inlineStr">
        <is>
          <t>The Gnonmen</t>
        </is>
      </c>
      <c r="C45" s="22">
        <f>'Turn Summary'!C46</f>
        <v/>
      </c>
      <c r="D45" s="22" t="n"/>
      <c r="E45" s="22" t="n"/>
      <c r="F45" s="22" t="n"/>
      <c r="G45" s="22" t="n"/>
      <c r="H45" s="22" t="n"/>
      <c r="I45" s="22" t="n"/>
      <c r="J45" s="22" t="n"/>
    </row>
    <row r="46">
      <c r="A46" s="20" t="n">
        <v>5</v>
      </c>
      <c r="B46" s="21" t="inlineStr">
        <is>
          <t>The Substratals</t>
        </is>
      </c>
      <c r="C46" s="22">
        <f>'Turn Summary'!C47</f>
        <v/>
      </c>
      <c r="D46" s="22" t="n"/>
      <c r="E46" s="22" t="n"/>
      <c r="F46" s="22" t="n"/>
      <c r="G46" s="22" t="n"/>
      <c r="H46" s="22" t="n"/>
      <c r="I46" s="22" t="n"/>
      <c r="J46" s="22" t="n"/>
    </row>
    <row r="47">
      <c r="A47" s="20" t="n">
        <v>5</v>
      </c>
      <c r="B47" s="21" t="inlineStr">
        <is>
          <t>The Deep Janeen</t>
        </is>
      </c>
      <c r="C47" s="22">
        <f>'Turn Summary'!C48</f>
        <v/>
      </c>
      <c r="D47" s="22" t="n"/>
      <c r="E47" s="22" t="n"/>
      <c r="F47" s="22" t="n"/>
      <c r="G47" s="22" t="n"/>
      <c r="H47" s="22" t="n"/>
      <c r="I47" s="22" t="n"/>
      <c r="J47" s="22" t="n"/>
    </row>
    <row r="48">
      <c r="A48" s="20" t="n">
        <v>5</v>
      </c>
      <c r="B48" s="21" t="inlineStr">
        <is>
          <t>The Olm</t>
        </is>
      </c>
      <c r="C48" s="22">
        <f>'Turn Summary'!C49</f>
        <v/>
      </c>
      <c r="D48" s="22" t="n"/>
      <c r="E48" s="22" t="n"/>
      <c r="F48" s="22" t="n"/>
      <c r="G48" s="22" t="n"/>
      <c r="H48" s="22" t="n"/>
      <c r="I48" s="22" t="n"/>
      <c r="J48" s="22" t="n"/>
    </row>
    <row r="49">
      <c r="A49" s="23" t="n">
        <v>6</v>
      </c>
      <c r="B49" s="24" t="inlineStr">
        <is>
          <t>The Knotsmen</t>
        </is>
      </c>
      <c r="C49" s="25">
        <f>'Turn Summary'!C50</f>
        <v/>
      </c>
      <c r="D49" s="25" t="n"/>
      <c r="E49" s="25" t="n"/>
      <c r="F49" s="25" t="n"/>
      <c r="G49" s="25" t="n"/>
      <c r="H49" s="25" t="n"/>
      <c r="I49" s="25" t="n"/>
      <c r="J49" s="25" t="n"/>
    </row>
    <row r="50">
      <c r="A50" s="23" t="n">
        <v>6</v>
      </c>
      <c r="B50" s="24" t="inlineStr">
        <is>
          <t>The Aelf-Adal</t>
        </is>
      </c>
      <c r="C50" s="25">
        <f>'Turn Summary'!C51</f>
        <v/>
      </c>
      <c r="D50" s="25" t="n"/>
      <c r="E50" s="25" t="n"/>
      <c r="F50" s="25" t="n"/>
      <c r="G50" s="25" t="n"/>
      <c r="H50" s="25" t="n"/>
      <c r="I50" s="25" t="n"/>
      <c r="J50" s="25" t="n"/>
    </row>
    <row r="51">
      <c r="A51" s="23" t="n">
        <v>6</v>
      </c>
      <c r="B51" s="24" t="inlineStr">
        <is>
          <t>The Funginids</t>
        </is>
      </c>
      <c r="C51" s="25">
        <f>'Turn Summary'!C52</f>
        <v/>
      </c>
      <c r="D51" s="25" t="n"/>
      <c r="E51" s="25" t="n"/>
      <c r="F51" s="25" t="n"/>
      <c r="G51" s="25" t="n"/>
      <c r="H51" s="25" t="n"/>
      <c r="I51" s="25" t="n"/>
      <c r="J51" s="25" t="n"/>
    </row>
    <row r="52">
      <c r="A52" s="23" t="n">
        <v>6</v>
      </c>
      <c r="B52" s="24" t="inlineStr">
        <is>
          <t>The dErO</t>
        </is>
      </c>
      <c r="C52" s="25">
        <f>'Turn Summary'!C53</f>
        <v/>
      </c>
      <c r="D52" s="25" t="n"/>
      <c r="E52" s="25" t="n"/>
      <c r="F52" s="25" t="n"/>
      <c r="G52" s="25" t="n"/>
      <c r="H52" s="25" t="n"/>
      <c r="I52" s="25" t="n"/>
      <c r="J52" s="25" t="n"/>
    </row>
    <row r="53">
      <c r="A53" s="23" t="n">
        <v>6</v>
      </c>
      <c r="B53" s="24" t="inlineStr">
        <is>
          <t>The Dvargir</t>
        </is>
      </c>
      <c r="C53" s="25">
        <f>'Turn Summary'!C54</f>
        <v/>
      </c>
      <c r="D53" s="25" t="n"/>
      <c r="E53" s="25" t="n"/>
      <c r="F53" s="25" t="n"/>
      <c r="G53" s="25" t="n"/>
      <c r="H53" s="25" t="n"/>
      <c r="I53" s="25" t="n"/>
      <c r="J53" s="25" t="n"/>
    </row>
    <row r="54">
      <c r="A54" s="23" t="n">
        <v>6</v>
      </c>
      <c r="B54" s="24" t="inlineStr">
        <is>
          <t>The Gnonmen</t>
        </is>
      </c>
      <c r="C54" s="25">
        <f>'Turn Summary'!C55</f>
        <v/>
      </c>
      <c r="D54" s="25" t="n"/>
      <c r="E54" s="25" t="n"/>
      <c r="F54" s="25" t="n"/>
      <c r="G54" s="25" t="n"/>
      <c r="H54" s="25" t="n"/>
      <c r="I54" s="25" t="n"/>
      <c r="J54" s="25" t="n"/>
    </row>
    <row r="55">
      <c r="A55" s="23" t="n">
        <v>6</v>
      </c>
      <c r="B55" s="24" t="inlineStr">
        <is>
          <t>The Substratals</t>
        </is>
      </c>
      <c r="C55" s="25">
        <f>'Turn Summary'!C56</f>
        <v/>
      </c>
      <c r="D55" s="25" t="n"/>
      <c r="E55" s="25" t="n"/>
      <c r="F55" s="25" t="n"/>
      <c r="G55" s="25" t="n"/>
      <c r="H55" s="25" t="n"/>
      <c r="I55" s="25" t="n"/>
      <c r="J55" s="25" t="n"/>
    </row>
    <row r="56">
      <c r="A56" s="23" t="n">
        <v>6</v>
      </c>
      <c r="B56" s="24" t="inlineStr">
        <is>
          <t>The Deep Janeen</t>
        </is>
      </c>
      <c r="C56" s="25">
        <f>'Turn Summary'!C57</f>
        <v/>
      </c>
      <c r="D56" s="25" t="n"/>
      <c r="E56" s="25" t="n"/>
      <c r="F56" s="25" t="n"/>
      <c r="G56" s="25" t="n"/>
      <c r="H56" s="25" t="n"/>
      <c r="I56" s="25" t="n"/>
      <c r="J56" s="25" t="n"/>
    </row>
    <row r="57">
      <c r="A57" s="23" t="n">
        <v>6</v>
      </c>
      <c r="B57" s="24" t="inlineStr">
        <is>
          <t>The Olm</t>
        </is>
      </c>
      <c r="C57" s="25">
        <f>'Turn Summary'!C58</f>
        <v/>
      </c>
      <c r="D57" s="25" t="n"/>
      <c r="E57" s="25" t="n"/>
      <c r="F57" s="25" t="n"/>
      <c r="G57" s="25" t="n"/>
      <c r="H57" s="25" t="n"/>
      <c r="I57" s="25" t="n"/>
      <c r="J57" s="25" t="n"/>
    </row>
    <row r="58">
      <c r="A58" s="20" t="n">
        <v>7</v>
      </c>
      <c r="B58" s="21" t="inlineStr">
        <is>
          <t>The Knotsmen</t>
        </is>
      </c>
      <c r="C58" s="22">
        <f>'Turn Summary'!C59</f>
        <v/>
      </c>
      <c r="D58" s="22" t="n"/>
      <c r="E58" s="22" t="n"/>
      <c r="F58" s="22" t="n"/>
      <c r="G58" s="22" t="n"/>
      <c r="H58" s="22" t="n"/>
      <c r="I58" s="22" t="n"/>
      <c r="J58" s="22" t="n"/>
    </row>
    <row r="59">
      <c r="A59" s="20" t="n">
        <v>7</v>
      </c>
      <c r="B59" s="21" t="inlineStr">
        <is>
          <t>The Aelf-Adal</t>
        </is>
      </c>
      <c r="C59" s="22">
        <f>'Turn Summary'!C60</f>
        <v/>
      </c>
      <c r="D59" s="22" t="n"/>
      <c r="E59" s="22" t="n"/>
      <c r="F59" s="22" t="n"/>
      <c r="G59" s="22" t="n"/>
      <c r="H59" s="22" t="n"/>
      <c r="I59" s="22" t="n"/>
      <c r="J59" s="22" t="n"/>
    </row>
    <row r="60">
      <c r="A60" s="20" t="n">
        <v>7</v>
      </c>
      <c r="B60" s="21" t="inlineStr">
        <is>
          <t>The Funginids</t>
        </is>
      </c>
      <c r="C60" s="22">
        <f>'Turn Summary'!C61</f>
        <v/>
      </c>
      <c r="D60" s="22" t="n"/>
      <c r="E60" s="22" t="n"/>
      <c r="F60" s="22" t="n"/>
      <c r="G60" s="22" t="n"/>
      <c r="H60" s="22" t="n"/>
      <c r="I60" s="22" t="n"/>
      <c r="J60" s="22" t="n"/>
    </row>
    <row r="61">
      <c r="A61" s="20" t="n">
        <v>7</v>
      </c>
      <c r="B61" s="21" t="inlineStr">
        <is>
          <t>The dErO</t>
        </is>
      </c>
      <c r="C61" s="22">
        <f>'Turn Summary'!C62</f>
        <v/>
      </c>
      <c r="D61" s="22" t="n"/>
      <c r="E61" s="22" t="n"/>
      <c r="F61" s="22" t="n"/>
      <c r="G61" s="22" t="n"/>
      <c r="H61" s="22" t="n"/>
      <c r="I61" s="22" t="n"/>
      <c r="J61" s="22" t="n"/>
    </row>
    <row r="62">
      <c r="A62" s="20" t="n">
        <v>7</v>
      </c>
      <c r="B62" s="21" t="inlineStr">
        <is>
          <t>The Dvargir</t>
        </is>
      </c>
      <c r="C62" s="22">
        <f>'Turn Summary'!C63</f>
        <v/>
      </c>
      <c r="D62" s="22" t="n"/>
      <c r="E62" s="22" t="n"/>
      <c r="F62" s="22" t="n"/>
      <c r="G62" s="22" t="n"/>
      <c r="H62" s="22" t="n"/>
      <c r="I62" s="22" t="n"/>
      <c r="J62" s="22" t="n"/>
    </row>
    <row r="63">
      <c r="A63" s="20" t="n">
        <v>7</v>
      </c>
      <c r="B63" s="21" t="inlineStr">
        <is>
          <t>The Gnonmen</t>
        </is>
      </c>
      <c r="C63" s="22">
        <f>'Turn Summary'!C64</f>
        <v/>
      </c>
      <c r="D63" s="22" t="n"/>
      <c r="E63" s="22" t="n"/>
      <c r="F63" s="22" t="n"/>
      <c r="G63" s="22" t="n"/>
      <c r="H63" s="22" t="n"/>
      <c r="I63" s="22" t="n"/>
      <c r="J63" s="22" t="n"/>
    </row>
    <row r="64">
      <c r="A64" s="20" t="n">
        <v>7</v>
      </c>
      <c r="B64" s="21" t="inlineStr">
        <is>
          <t>The Substratals</t>
        </is>
      </c>
      <c r="C64" s="22">
        <f>'Turn Summary'!C65</f>
        <v/>
      </c>
      <c r="D64" s="22" t="n"/>
      <c r="E64" s="22" t="n"/>
      <c r="F64" s="22" t="n"/>
      <c r="G64" s="22" t="n"/>
      <c r="H64" s="22" t="n"/>
      <c r="I64" s="22" t="n"/>
      <c r="J64" s="22" t="n"/>
    </row>
    <row r="65">
      <c r="A65" s="20" t="n">
        <v>7</v>
      </c>
      <c r="B65" s="21" t="inlineStr">
        <is>
          <t>The Deep Janeen</t>
        </is>
      </c>
      <c r="C65" s="22">
        <f>'Turn Summary'!C66</f>
        <v/>
      </c>
      <c r="D65" s="22" t="n"/>
      <c r="E65" s="22" t="n"/>
      <c r="F65" s="22" t="n"/>
      <c r="G65" s="22" t="n"/>
      <c r="H65" s="22" t="n"/>
      <c r="I65" s="22" t="n"/>
      <c r="J65" s="22" t="n"/>
    </row>
    <row r="66">
      <c r="A66" s="20" t="n">
        <v>7</v>
      </c>
      <c r="B66" s="21" t="inlineStr">
        <is>
          <t>The Olm</t>
        </is>
      </c>
      <c r="C66" s="22">
        <f>'Turn Summary'!C67</f>
        <v/>
      </c>
      <c r="D66" s="22" t="n"/>
      <c r="E66" s="22" t="n"/>
      <c r="F66" s="22" t="n"/>
      <c r="G66" s="22" t="n"/>
      <c r="H66" s="22" t="n"/>
      <c r="I66" s="22" t="n"/>
      <c r="J66" s="22" t="n"/>
    </row>
    <row r="67">
      <c r="A67" s="23" t="n">
        <v>8</v>
      </c>
      <c r="B67" s="24" t="inlineStr">
        <is>
          <t>The Knotsmen</t>
        </is>
      </c>
      <c r="C67" s="25">
        <f>'Turn Summary'!C68</f>
        <v/>
      </c>
      <c r="D67" s="25" t="n"/>
      <c r="E67" s="25" t="n"/>
      <c r="F67" s="25" t="n"/>
      <c r="G67" s="25" t="n"/>
      <c r="H67" s="25" t="n"/>
      <c r="I67" s="25" t="n"/>
      <c r="J67" s="25" t="n"/>
    </row>
    <row r="68">
      <c r="A68" s="23" t="n">
        <v>8</v>
      </c>
      <c r="B68" s="24" t="inlineStr">
        <is>
          <t>The Aelf-Adal</t>
        </is>
      </c>
      <c r="C68" s="25">
        <f>'Turn Summary'!C69</f>
        <v/>
      </c>
      <c r="D68" s="25" t="n"/>
      <c r="E68" s="25" t="n"/>
      <c r="F68" s="25" t="n"/>
      <c r="G68" s="25" t="n"/>
      <c r="H68" s="25" t="n"/>
      <c r="I68" s="25" t="n"/>
      <c r="J68" s="25" t="n"/>
    </row>
    <row r="69">
      <c r="A69" s="23" t="n">
        <v>8</v>
      </c>
      <c r="B69" s="24" t="inlineStr">
        <is>
          <t>The Funginids</t>
        </is>
      </c>
      <c r="C69" s="25">
        <f>'Turn Summary'!C70</f>
        <v/>
      </c>
      <c r="D69" s="25" t="n"/>
      <c r="E69" s="25" t="n"/>
      <c r="F69" s="25" t="n"/>
      <c r="G69" s="25" t="n"/>
      <c r="H69" s="25" t="n"/>
      <c r="I69" s="25" t="n"/>
      <c r="J69" s="25" t="n"/>
    </row>
    <row r="70">
      <c r="A70" s="23" t="n">
        <v>8</v>
      </c>
      <c r="B70" s="24" t="inlineStr">
        <is>
          <t>The dErO</t>
        </is>
      </c>
      <c r="C70" s="25">
        <f>'Turn Summary'!C71</f>
        <v/>
      </c>
      <c r="D70" s="25" t="n"/>
      <c r="E70" s="25" t="n"/>
      <c r="F70" s="25" t="n"/>
      <c r="G70" s="25" t="n"/>
      <c r="H70" s="25" t="n"/>
      <c r="I70" s="25" t="n"/>
      <c r="J70" s="25" t="n"/>
    </row>
    <row r="71">
      <c r="A71" s="23" t="n">
        <v>8</v>
      </c>
      <c r="B71" s="24" t="inlineStr">
        <is>
          <t>The Dvargir</t>
        </is>
      </c>
      <c r="C71" s="25">
        <f>'Turn Summary'!C72</f>
        <v/>
      </c>
      <c r="D71" s="25" t="n"/>
      <c r="E71" s="25" t="n"/>
      <c r="F71" s="25" t="n"/>
      <c r="G71" s="25" t="n"/>
      <c r="H71" s="25" t="n"/>
      <c r="I71" s="25" t="n"/>
      <c r="J71" s="25" t="n"/>
    </row>
    <row r="72">
      <c r="A72" s="23" t="n">
        <v>8</v>
      </c>
      <c r="B72" s="24" t="inlineStr">
        <is>
          <t>The Gnonmen</t>
        </is>
      </c>
      <c r="C72" s="25">
        <f>'Turn Summary'!C73</f>
        <v/>
      </c>
      <c r="D72" s="25" t="n"/>
      <c r="E72" s="25" t="n"/>
      <c r="F72" s="25" t="n"/>
      <c r="G72" s="25" t="n"/>
      <c r="H72" s="25" t="n"/>
      <c r="I72" s="25" t="n"/>
      <c r="J72" s="25" t="n"/>
    </row>
    <row r="73">
      <c r="A73" s="23" t="n">
        <v>8</v>
      </c>
      <c r="B73" s="24" t="inlineStr">
        <is>
          <t>The Substratals</t>
        </is>
      </c>
      <c r="C73" s="25">
        <f>'Turn Summary'!C74</f>
        <v/>
      </c>
      <c r="D73" s="25" t="n"/>
      <c r="E73" s="25" t="n"/>
      <c r="F73" s="25" t="n"/>
      <c r="G73" s="25" t="n"/>
      <c r="H73" s="25" t="n"/>
      <c r="I73" s="25" t="n"/>
      <c r="J73" s="25" t="n"/>
    </row>
    <row r="74">
      <c r="A74" s="23" t="n">
        <v>8</v>
      </c>
      <c r="B74" s="24" t="inlineStr">
        <is>
          <t>The Deep Janeen</t>
        </is>
      </c>
      <c r="C74" s="25">
        <f>'Turn Summary'!C75</f>
        <v/>
      </c>
      <c r="D74" s="25" t="n"/>
      <c r="E74" s="25" t="n"/>
      <c r="F74" s="25" t="n"/>
      <c r="G74" s="25" t="n"/>
      <c r="H74" s="25" t="n"/>
      <c r="I74" s="25" t="n"/>
      <c r="J74" s="25" t="n"/>
    </row>
    <row r="75">
      <c r="A75" s="23" t="n">
        <v>8</v>
      </c>
      <c r="B75" s="24" t="inlineStr">
        <is>
          <t>The Olm</t>
        </is>
      </c>
      <c r="C75" s="25">
        <f>'Turn Summary'!C76</f>
        <v/>
      </c>
      <c r="D75" s="25" t="n"/>
      <c r="E75" s="25" t="n"/>
      <c r="F75" s="25" t="n"/>
      <c r="G75" s="25" t="n"/>
      <c r="H75" s="25" t="n"/>
      <c r="I75" s="25" t="n"/>
      <c r="J75" s="25" t="n"/>
    </row>
    <row r="76">
      <c r="A76" s="20" t="n">
        <v>9</v>
      </c>
      <c r="B76" s="21" t="inlineStr">
        <is>
          <t>The Knotsmen</t>
        </is>
      </c>
      <c r="C76" s="22">
        <f>'Turn Summary'!C77</f>
        <v/>
      </c>
      <c r="D76" s="22" t="n"/>
      <c r="E76" s="22" t="n"/>
      <c r="F76" s="22" t="n"/>
      <c r="G76" s="22" t="n"/>
      <c r="H76" s="22" t="n"/>
      <c r="I76" s="22" t="n"/>
      <c r="J76" s="22" t="n"/>
    </row>
    <row r="77">
      <c r="A77" s="20" t="n">
        <v>9</v>
      </c>
      <c r="B77" s="21" t="inlineStr">
        <is>
          <t>The Aelf-Adal</t>
        </is>
      </c>
      <c r="C77" s="22">
        <f>'Turn Summary'!C78</f>
        <v/>
      </c>
      <c r="D77" s="22" t="n"/>
      <c r="E77" s="22" t="n"/>
      <c r="F77" s="22" t="n"/>
      <c r="G77" s="22" t="n"/>
      <c r="H77" s="22" t="n"/>
      <c r="I77" s="22" t="n"/>
      <c r="J77" s="22" t="n"/>
    </row>
    <row r="78">
      <c r="A78" s="20" t="n">
        <v>9</v>
      </c>
      <c r="B78" s="21" t="inlineStr">
        <is>
          <t>The Funginids</t>
        </is>
      </c>
      <c r="C78" s="22">
        <f>'Turn Summary'!C79</f>
        <v/>
      </c>
      <c r="D78" s="22" t="n"/>
      <c r="E78" s="22" t="n"/>
      <c r="F78" s="22" t="n"/>
      <c r="G78" s="22" t="n"/>
      <c r="H78" s="22" t="n"/>
      <c r="I78" s="22" t="n"/>
      <c r="J78" s="22" t="n"/>
    </row>
    <row r="79">
      <c r="A79" s="20" t="n">
        <v>9</v>
      </c>
      <c r="B79" s="21" t="inlineStr">
        <is>
          <t>The dErO</t>
        </is>
      </c>
      <c r="C79" s="22">
        <f>'Turn Summary'!C80</f>
        <v/>
      </c>
      <c r="D79" s="22" t="n"/>
      <c r="E79" s="22" t="n"/>
      <c r="F79" s="22" t="n"/>
      <c r="G79" s="22" t="n"/>
      <c r="H79" s="22" t="n"/>
      <c r="I79" s="22" t="n"/>
      <c r="J79" s="22" t="n"/>
    </row>
    <row r="80">
      <c r="A80" s="20" t="n">
        <v>9</v>
      </c>
      <c r="B80" s="21" t="inlineStr">
        <is>
          <t>The Dvargir</t>
        </is>
      </c>
      <c r="C80" s="22">
        <f>'Turn Summary'!C81</f>
        <v/>
      </c>
      <c r="D80" s="22" t="n"/>
      <c r="E80" s="22" t="n"/>
      <c r="F80" s="22" t="n"/>
      <c r="G80" s="22" t="n"/>
      <c r="H80" s="22" t="n"/>
      <c r="I80" s="22" t="n"/>
      <c r="J80" s="22" t="n"/>
    </row>
    <row r="81">
      <c r="A81" s="20" t="n">
        <v>9</v>
      </c>
      <c r="B81" s="21" t="inlineStr">
        <is>
          <t>The Gnonmen</t>
        </is>
      </c>
      <c r="C81" s="22">
        <f>'Turn Summary'!C82</f>
        <v/>
      </c>
      <c r="D81" s="22" t="n"/>
      <c r="E81" s="22" t="n"/>
      <c r="F81" s="22" t="n"/>
      <c r="G81" s="22" t="n"/>
      <c r="H81" s="22" t="n"/>
      <c r="I81" s="22" t="n"/>
      <c r="J81" s="22" t="n"/>
    </row>
    <row r="82">
      <c r="A82" s="20" t="n">
        <v>9</v>
      </c>
      <c r="B82" s="21" t="inlineStr">
        <is>
          <t>The Substratals</t>
        </is>
      </c>
      <c r="C82" s="22">
        <f>'Turn Summary'!C83</f>
        <v/>
      </c>
      <c r="D82" s="22" t="n"/>
      <c r="E82" s="22" t="n"/>
      <c r="F82" s="22" t="n"/>
      <c r="G82" s="22" t="n"/>
      <c r="H82" s="22" t="n"/>
      <c r="I82" s="22" t="n"/>
      <c r="J82" s="22" t="n"/>
    </row>
    <row r="83">
      <c r="A83" s="20" t="n">
        <v>9</v>
      </c>
      <c r="B83" s="21" t="inlineStr">
        <is>
          <t>The Deep Janeen</t>
        </is>
      </c>
      <c r="C83" s="22">
        <f>'Turn Summary'!C84</f>
        <v/>
      </c>
      <c r="D83" s="22" t="n"/>
      <c r="E83" s="22" t="n"/>
      <c r="F83" s="22" t="n"/>
      <c r="G83" s="22" t="n"/>
      <c r="H83" s="22" t="n"/>
      <c r="I83" s="22" t="n"/>
      <c r="J83" s="22" t="n"/>
    </row>
    <row r="84">
      <c r="A84" s="20" t="n">
        <v>9</v>
      </c>
      <c r="B84" s="21" t="inlineStr">
        <is>
          <t>The Olm</t>
        </is>
      </c>
      <c r="C84" s="22">
        <f>'Turn Summary'!C85</f>
        <v/>
      </c>
      <c r="D84" s="22" t="n"/>
      <c r="E84" s="22" t="n"/>
      <c r="F84" s="22" t="n"/>
      <c r="G84" s="22" t="n"/>
      <c r="H84" s="22" t="n"/>
      <c r="I84" s="22" t="n"/>
      <c r="J84" s="22" t="n"/>
    </row>
    <row r="85">
      <c r="A85" s="23" t="n">
        <v>10</v>
      </c>
      <c r="B85" s="24" t="inlineStr">
        <is>
          <t>The Knotsmen</t>
        </is>
      </c>
      <c r="C85" s="25">
        <f>'Turn Summary'!C86</f>
        <v/>
      </c>
      <c r="D85" s="25" t="n"/>
      <c r="E85" s="25" t="n"/>
      <c r="F85" s="25" t="n"/>
      <c r="G85" s="25" t="n"/>
      <c r="H85" s="25" t="n"/>
      <c r="I85" s="25" t="n"/>
      <c r="J85" s="25" t="n"/>
    </row>
    <row r="86">
      <c r="A86" s="23" t="n">
        <v>10</v>
      </c>
      <c r="B86" s="24" t="inlineStr">
        <is>
          <t>The Aelf-Adal</t>
        </is>
      </c>
      <c r="C86" s="25">
        <f>'Turn Summary'!C87</f>
        <v/>
      </c>
      <c r="D86" s="25" t="n"/>
      <c r="E86" s="25" t="n"/>
      <c r="F86" s="25" t="n"/>
      <c r="G86" s="25" t="n"/>
      <c r="H86" s="25" t="n"/>
      <c r="I86" s="25" t="n"/>
      <c r="J86" s="25" t="n"/>
    </row>
    <row r="87">
      <c r="A87" s="23" t="n">
        <v>10</v>
      </c>
      <c r="B87" s="24" t="inlineStr">
        <is>
          <t>The Funginids</t>
        </is>
      </c>
      <c r="C87" s="25">
        <f>'Turn Summary'!C88</f>
        <v/>
      </c>
      <c r="D87" s="25" t="n"/>
      <c r="E87" s="25" t="n"/>
      <c r="F87" s="25" t="n"/>
      <c r="G87" s="25" t="n"/>
      <c r="H87" s="25" t="n"/>
      <c r="I87" s="25" t="n"/>
      <c r="J87" s="25" t="n"/>
    </row>
    <row r="88">
      <c r="A88" s="23" t="n">
        <v>10</v>
      </c>
      <c r="B88" s="24" t="inlineStr">
        <is>
          <t>The dErO</t>
        </is>
      </c>
      <c r="C88" s="25">
        <f>'Turn Summary'!C89</f>
        <v/>
      </c>
      <c r="D88" s="25" t="n"/>
      <c r="E88" s="25" t="n"/>
      <c r="F88" s="25" t="n"/>
      <c r="G88" s="25" t="n"/>
      <c r="H88" s="25" t="n"/>
      <c r="I88" s="25" t="n"/>
      <c r="J88" s="25" t="n"/>
    </row>
    <row r="89">
      <c r="A89" s="23" t="n">
        <v>10</v>
      </c>
      <c r="B89" s="24" t="inlineStr">
        <is>
          <t>The Dvargir</t>
        </is>
      </c>
      <c r="C89" s="25">
        <f>'Turn Summary'!C90</f>
        <v/>
      </c>
      <c r="D89" s="25" t="n"/>
      <c r="E89" s="25" t="n"/>
      <c r="F89" s="25" t="n"/>
      <c r="G89" s="25" t="n"/>
      <c r="H89" s="25" t="n"/>
      <c r="I89" s="25" t="n"/>
      <c r="J89" s="25" t="n"/>
    </row>
    <row r="90">
      <c r="A90" s="23" t="n">
        <v>10</v>
      </c>
      <c r="B90" s="24" t="inlineStr">
        <is>
          <t>The Gnonmen</t>
        </is>
      </c>
      <c r="C90" s="25">
        <f>'Turn Summary'!C91</f>
        <v/>
      </c>
      <c r="D90" s="25" t="n"/>
      <c r="E90" s="25" t="n"/>
      <c r="F90" s="25" t="n"/>
      <c r="G90" s="25" t="n"/>
      <c r="H90" s="25" t="n"/>
      <c r="I90" s="25" t="n"/>
      <c r="J90" s="25" t="n"/>
    </row>
    <row r="91">
      <c r="A91" s="23" t="n">
        <v>10</v>
      </c>
      <c r="B91" s="24" t="inlineStr">
        <is>
          <t>The Substratals</t>
        </is>
      </c>
      <c r="C91" s="25">
        <f>'Turn Summary'!C92</f>
        <v/>
      </c>
      <c r="D91" s="25" t="n"/>
      <c r="E91" s="25" t="n"/>
      <c r="F91" s="25" t="n"/>
      <c r="G91" s="25" t="n"/>
      <c r="H91" s="25" t="n"/>
      <c r="I91" s="25" t="n"/>
      <c r="J91" s="25" t="n"/>
    </row>
    <row r="92">
      <c r="A92" s="23" t="n">
        <v>10</v>
      </c>
      <c r="B92" s="24" t="inlineStr">
        <is>
          <t>The Deep Janeen</t>
        </is>
      </c>
      <c r="C92" s="25">
        <f>'Turn Summary'!C93</f>
        <v/>
      </c>
      <c r="D92" s="25" t="n"/>
      <c r="E92" s="25" t="n"/>
      <c r="F92" s="25" t="n"/>
      <c r="G92" s="25" t="n"/>
      <c r="H92" s="25" t="n"/>
      <c r="I92" s="25" t="n"/>
      <c r="J92" s="25" t="n"/>
    </row>
    <row r="93">
      <c r="A93" s="23" t="n">
        <v>10</v>
      </c>
      <c r="B93" s="24" t="inlineStr">
        <is>
          <t>The Olm</t>
        </is>
      </c>
      <c r="C93" s="25">
        <f>'Turn Summary'!C94</f>
        <v/>
      </c>
      <c r="D93" s="25" t="n"/>
      <c r="E93" s="25" t="n"/>
      <c r="F93" s="25" t="n"/>
      <c r="G93" s="25" t="n"/>
      <c r="H93" s="25" t="n"/>
      <c r="I93" s="25" t="n"/>
      <c r="J93" s="25" t="n"/>
    </row>
    <row r="94">
      <c r="A94" s="20" t="n">
        <v>11</v>
      </c>
      <c r="B94" s="21" t="inlineStr">
        <is>
          <t>The Knotsmen</t>
        </is>
      </c>
      <c r="C94" s="22">
        <f>'Turn Summary'!C95</f>
        <v/>
      </c>
      <c r="D94" s="22" t="n"/>
      <c r="E94" s="22" t="n"/>
      <c r="F94" s="22" t="n"/>
      <c r="G94" s="22" t="n"/>
      <c r="H94" s="22" t="n"/>
      <c r="I94" s="22" t="n"/>
      <c r="J94" s="22" t="n"/>
    </row>
    <row r="95">
      <c r="A95" s="20" t="n">
        <v>11</v>
      </c>
      <c r="B95" s="21" t="inlineStr">
        <is>
          <t>The Aelf-Adal</t>
        </is>
      </c>
      <c r="C95" s="22">
        <f>'Turn Summary'!C96</f>
        <v/>
      </c>
      <c r="D95" s="22" t="n"/>
      <c r="E95" s="22" t="n"/>
      <c r="F95" s="22" t="n"/>
      <c r="G95" s="22" t="n"/>
      <c r="H95" s="22" t="n"/>
      <c r="I95" s="22" t="n"/>
      <c r="J95" s="22" t="n"/>
    </row>
    <row r="96">
      <c r="A96" s="20" t="n">
        <v>11</v>
      </c>
      <c r="B96" s="21" t="inlineStr">
        <is>
          <t>The Funginids</t>
        </is>
      </c>
      <c r="C96" s="22">
        <f>'Turn Summary'!C97</f>
        <v/>
      </c>
      <c r="D96" s="22" t="n"/>
      <c r="E96" s="22" t="n"/>
      <c r="F96" s="22" t="n"/>
      <c r="G96" s="22" t="n"/>
      <c r="H96" s="22" t="n"/>
      <c r="I96" s="22" t="n"/>
      <c r="J96" s="22" t="n"/>
    </row>
    <row r="97">
      <c r="A97" s="20" t="n">
        <v>11</v>
      </c>
      <c r="B97" s="21" t="inlineStr">
        <is>
          <t>The dErO</t>
        </is>
      </c>
      <c r="C97" s="22">
        <f>'Turn Summary'!C98</f>
        <v/>
      </c>
      <c r="D97" s="22" t="n"/>
      <c r="E97" s="22" t="n"/>
      <c r="F97" s="22" t="n"/>
      <c r="G97" s="22" t="n"/>
      <c r="H97" s="22" t="n"/>
      <c r="I97" s="22" t="n"/>
      <c r="J97" s="22" t="n"/>
    </row>
    <row r="98">
      <c r="A98" s="20" t="n">
        <v>11</v>
      </c>
      <c r="B98" s="21" t="inlineStr">
        <is>
          <t>The Dvargir</t>
        </is>
      </c>
      <c r="C98" s="22">
        <f>'Turn Summary'!C99</f>
        <v/>
      </c>
      <c r="D98" s="22" t="n"/>
      <c r="E98" s="22" t="n"/>
      <c r="F98" s="22" t="n"/>
      <c r="G98" s="22" t="n"/>
      <c r="H98" s="22" t="n"/>
      <c r="I98" s="22" t="n"/>
      <c r="J98" s="22" t="n"/>
    </row>
    <row r="99">
      <c r="A99" s="20" t="n">
        <v>11</v>
      </c>
      <c r="B99" s="21" t="inlineStr">
        <is>
          <t>The Gnonmen</t>
        </is>
      </c>
      <c r="C99" s="22">
        <f>'Turn Summary'!C100</f>
        <v/>
      </c>
      <c r="D99" s="22" t="n"/>
      <c r="E99" s="22" t="n"/>
      <c r="F99" s="22" t="n"/>
      <c r="G99" s="22" t="n"/>
      <c r="H99" s="22" t="n"/>
      <c r="I99" s="22" t="n"/>
      <c r="J99" s="22" t="n"/>
    </row>
    <row r="100">
      <c r="A100" s="20" t="n">
        <v>11</v>
      </c>
      <c r="B100" s="21" t="inlineStr">
        <is>
          <t>The Substratals</t>
        </is>
      </c>
      <c r="C100" s="22">
        <f>'Turn Summary'!C101</f>
        <v/>
      </c>
      <c r="D100" s="22" t="n"/>
      <c r="E100" s="22" t="n"/>
      <c r="F100" s="22" t="n"/>
      <c r="G100" s="22" t="n"/>
      <c r="H100" s="22" t="n"/>
      <c r="I100" s="22" t="n"/>
      <c r="J100" s="22" t="n"/>
    </row>
    <row r="101">
      <c r="A101" s="20" t="n">
        <v>11</v>
      </c>
      <c r="B101" s="21" t="inlineStr">
        <is>
          <t>The Deep Janeen</t>
        </is>
      </c>
      <c r="C101" s="22">
        <f>'Turn Summary'!C102</f>
        <v/>
      </c>
      <c r="D101" s="22" t="n"/>
      <c r="E101" s="22" t="n"/>
      <c r="F101" s="22" t="n"/>
      <c r="G101" s="22" t="n"/>
      <c r="H101" s="22" t="n"/>
      <c r="I101" s="22" t="n"/>
      <c r="J101" s="22" t="n"/>
    </row>
    <row r="102">
      <c r="A102" s="20" t="n">
        <v>11</v>
      </c>
      <c r="B102" s="21" t="inlineStr">
        <is>
          <t>The Olm</t>
        </is>
      </c>
      <c r="C102" s="22">
        <f>'Turn Summary'!C103</f>
        <v/>
      </c>
      <c r="D102" s="22" t="n"/>
      <c r="E102" s="22" t="n"/>
      <c r="F102" s="22" t="n"/>
      <c r="G102" s="22" t="n"/>
      <c r="H102" s="22" t="n"/>
      <c r="I102" s="22" t="n"/>
      <c r="J102" s="22" t="n"/>
    </row>
    <row r="103">
      <c r="A103" s="23" t="n">
        <v>12</v>
      </c>
      <c r="B103" s="24" t="inlineStr">
        <is>
          <t>The Knotsmen</t>
        </is>
      </c>
      <c r="C103" s="25">
        <f>'Turn Summary'!C104</f>
        <v/>
      </c>
      <c r="D103" s="25" t="n"/>
      <c r="E103" s="25" t="n"/>
      <c r="F103" s="25" t="n"/>
      <c r="G103" s="25" t="n"/>
      <c r="H103" s="25" t="n"/>
      <c r="I103" s="25" t="n"/>
      <c r="J103" s="25" t="n"/>
    </row>
    <row r="104">
      <c r="A104" s="23" t="n">
        <v>12</v>
      </c>
      <c r="B104" s="24" t="inlineStr">
        <is>
          <t>The Aelf-Adal</t>
        </is>
      </c>
      <c r="C104" s="25">
        <f>'Turn Summary'!C105</f>
        <v/>
      </c>
      <c r="D104" s="25" t="n"/>
      <c r="E104" s="25" t="n"/>
      <c r="F104" s="25" t="n"/>
      <c r="G104" s="25" t="n"/>
      <c r="H104" s="25" t="n"/>
      <c r="I104" s="25" t="n"/>
      <c r="J104" s="25" t="n"/>
    </row>
    <row r="105">
      <c r="A105" s="23" t="n">
        <v>12</v>
      </c>
      <c r="B105" s="24" t="inlineStr">
        <is>
          <t>The Funginids</t>
        </is>
      </c>
      <c r="C105" s="25">
        <f>'Turn Summary'!C106</f>
        <v/>
      </c>
      <c r="D105" s="25" t="n"/>
      <c r="E105" s="25" t="n"/>
      <c r="F105" s="25" t="n"/>
      <c r="G105" s="25" t="n"/>
      <c r="H105" s="25" t="n"/>
      <c r="I105" s="25" t="n"/>
      <c r="J105" s="25" t="n"/>
    </row>
    <row r="106">
      <c r="A106" s="23" t="n">
        <v>12</v>
      </c>
      <c r="B106" s="24" t="inlineStr">
        <is>
          <t>The dErO</t>
        </is>
      </c>
      <c r="C106" s="25">
        <f>'Turn Summary'!C107</f>
        <v/>
      </c>
      <c r="D106" s="25" t="n"/>
      <c r="E106" s="25" t="n"/>
      <c r="F106" s="25" t="n"/>
      <c r="G106" s="25" t="n"/>
      <c r="H106" s="25" t="n"/>
      <c r="I106" s="25" t="n"/>
      <c r="J106" s="25" t="n"/>
    </row>
    <row r="107">
      <c r="A107" s="23" t="n">
        <v>12</v>
      </c>
      <c r="B107" s="24" t="inlineStr">
        <is>
          <t>The Dvargir</t>
        </is>
      </c>
      <c r="C107" s="25">
        <f>'Turn Summary'!C108</f>
        <v/>
      </c>
      <c r="D107" s="25" t="n"/>
      <c r="E107" s="25" t="n"/>
      <c r="F107" s="25" t="n"/>
      <c r="G107" s="25" t="n"/>
      <c r="H107" s="25" t="n"/>
      <c r="I107" s="25" t="n"/>
      <c r="J107" s="25" t="n"/>
    </row>
    <row r="108">
      <c r="A108" s="23" t="n">
        <v>12</v>
      </c>
      <c r="B108" s="24" t="inlineStr">
        <is>
          <t>The Gnonmen</t>
        </is>
      </c>
      <c r="C108" s="25">
        <f>'Turn Summary'!C109</f>
        <v/>
      </c>
      <c r="D108" s="25" t="n"/>
      <c r="E108" s="25" t="n"/>
      <c r="F108" s="25" t="n"/>
      <c r="G108" s="25" t="n"/>
      <c r="H108" s="25" t="n"/>
      <c r="I108" s="25" t="n"/>
      <c r="J108" s="25" t="n"/>
    </row>
    <row r="109">
      <c r="A109" s="23" t="n">
        <v>12</v>
      </c>
      <c r="B109" s="24" t="inlineStr">
        <is>
          <t>The Substratals</t>
        </is>
      </c>
      <c r="C109" s="25">
        <f>'Turn Summary'!C110</f>
        <v/>
      </c>
      <c r="D109" s="25" t="n"/>
      <c r="E109" s="25" t="n"/>
      <c r="F109" s="25" t="n"/>
      <c r="G109" s="25" t="n"/>
      <c r="H109" s="25" t="n"/>
      <c r="I109" s="25" t="n"/>
      <c r="J109" s="25" t="n"/>
    </row>
    <row r="110">
      <c r="A110" s="23" t="n">
        <v>12</v>
      </c>
      <c r="B110" s="24" t="inlineStr">
        <is>
          <t>The Deep Janeen</t>
        </is>
      </c>
      <c r="C110" s="25">
        <f>'Turn Summary'!C111</f>
        <v/>
      </c>
      <c r="D110" s="25" t="n"/>
      <c r="E110" s="25" t="n"/>
      <c r="F110" s="25" t="n"/>
      <c r="G110" s="25" t="n"/>
      <c r="H110" s="25" t="n"/>
      <c r="I110" s="25" t="n"/>
      <c r="J110" s="25" t="n"/>
    </row>
    <row r="111">
      <c r="A111" s="23" t="n">
        <v>12</v>
      </c>
      <c r="B111" s="24" t="inlineStr">
        <is>
          <t>The Olm</t>
        </is>
      </c>
      <c r="C111" s="25">
        <f>'Turn Summary'!C112</f>
        <v/>
      </c>
      <c r="D111" s="25" t="n"/>
      <c r="E111" s="25" t="n"/>
      <c r="F111" s="25" t="n"/>
      <c r="G111" s="25" t="n"/>
      <c r="H111" s="25" t="n"/>
      <c r="I111" s="25" t="n"/>
      <c r="J111" s="25" t="n"/>
    </row>
    <row r="112">
      <c r="A112" s="20" t="n">
        <v>13</v>
      </c>
      <c r="B112" s="21" t="inlineStr">
        <is>
          <t>The Knotsmen</t>
        </is>
      </c>
      <c r="C112" s="22">
        <f>'Turn Summary'!C113</f>
        <v/>
      </c>
      <c r="D112" s="22" t="n"/>
      <c r="E112" s="22" t="n"/>
      <c r="F112" s="22" t="n"/>
      <c r="G112" s="22" t="n"/>
      <c r="H112" s="22" t="n"/>
      <c r="I112" s="22" t="n"/>
      <c r="J112" s="22" t="n"/>
    </row>
    <row r="113">
      <c r="A113" s="20" t="n">
        <v>13</v>
      </c>
      <c r="B113" s="21" t="inlineStr">
        <is>
          <t>The Aelf-Adal</t>
        </is>
      </c>
      <c r="C113" s="22">
        <f>'Turn Summary'!C114</f>
        <v/>
      </c>
      <c r="D113" s="22" t="n"/>
      <c r="E113" s="22" t="n"/>
      <c r="F113" s="22" t="n"/>
      <c r="G113" s="22" t="n"/>
      <c r="H113" s="22" t="n"/>
      <c r="I113" s="22" t="n"/>
      <c r="J113" s="22" t="n"/>
    </row>
    <row r="114">
      <c r="A114" s="20" t="n">
        <v>13</v>
      </c>
      <c r="B114" s="21" t="inlineStr">
        <is>
          <t>The Funginids</t>
        </is>
      </c>
      <c r="C114" s="22">
        <f>'Turn Summary'!C115</f>
        <v/>
      </c>
      <c r="D114" s="22" t="n"/>
      <c r="E114" s="22" t="n"/>
      <c r="F114" s="22" t="n"/>
      <c r="G114" s="22" t="n"/>
      <c r="H114" s="22" t="n"/>
      <c r="I114" s="22" t="n"/>
      <c r="J114" s="22" t="n"/>
    </row>
    <row r="115">
      <c r="A115" s="20" t="n">
        <v>13</v>
      </c>
      <c r="B115" s="21" t="inlineStr">
        <is>
          <t>The dErO</t>
        </is>
      </c>
      <c r="C115" s="22">
        <f>'Turn Summary'!C116</f>
        <v/>
      </c>
      <c r="D115" s="22" t="n"/>
      <c r="E115" s="22" t="n"/>
      <c r="F115" s="22" t="n"/>
      <c r="G115" s="22" t="n"/>
      <c r="H115" s="22" t="n"/>
      <c r="I115" s="22" t="n"/>
      <c r="J115" s="22" t="n"/>
    </row>
    <row r="116">
      <c r="A116" s="20" t="n">
        <v>13</v>
      </c>
      <c r="B116" s="21" t="inlineStr">
        <is>
          <t>The Dvargir</t>
        </is>
      </c>
      <c r="C116" s="22">
        <f>'Turn Summary'!C117</f>
        <v/>
      </c>
      <c r="D116" s="22" t="n"/>
      <c r="E116" s="22" t="n"/>
      <c r="F116" s="22" t="n"/>
      <c r="G116" s="22" t="n"/>
      <c r="H116" s="22" t="n"/>
      <c r="I116" s="22" t="n"/>
      <c r="J116" s="22" t="n"/>
    </row>
    <row r="117">
      <c r="A117" s="20" t="n">
        <v>13</v>
      </c>
      <c r="B117" s="21" t="inlineStr">
        <is>
          <t>The Gnonmen</t>
        </is>
      </c>
      <c r="C117" s="22">
        <f>'Turn Summary'!C118</f>
        <v/>
      </c>
      <c r="D117" s="22" t="n"/>
      <c r="E117" s="22" t="n"/>
      <c r="F117" s="22" t="n"/>
      <c r="G117" s="22" t="n"/>
      <c r="H117" s="22" t="n"/>
      <c r="I117" s="22" t="n"/>
      <c r="J117" s="22" t="n"/>
    </row>
    <row r="118">
      <c r="A118" s="20" t="n">
        <v>13</v>
      </c>
      <c r="B118" s="21" t="inlineStr">
        <is>
          <t>The Substratals</t>
        </is>
      </c>
      <c r="C118" s="22">
        <f>'Turn Summary'!C119</f>
        <v/>
      </c>
      <c r="D118" s="22" t="n"/>
      <c r="E118" s="22" t="n"/>
      <c r="F118" s="22" t="n"/>
      <c r="G118" s="22" t="n"/>
      <c r="H118" s="22" t="n"/>
      <c r="I118" s="22" t="n"/>
      <c r="J118" s="22" t="n"/>
    </row>
    <row r="119">
      <c r="A119" s="20" t="n">
        <v>13</v>
      </c>
      <c r="B119" s="21" t="inlineStr">
        <is>
          <t>The Deep Janeen</t>
        </is>
      </c>
      <c r="C119" s="22">
        <f>'Turn Summary'!C120</f>
        <v/>
      </c>
      <c r="D119" s="22" t="n"/>
      <c r="E119" s="22" t="n"/>
      <c r="F119" s="22" t="n"/>
      <c r="G119" s="22" t="n"/>
      <c r="H119" s="22" t="n"/>
      <c r="I119" s="22" t="n"/>
      <c r="J119" s="22" t="n"/>
    </row>
    <row r="120">
      <c r="A120" s="20" t="n">
        <v>13</v>
      </c>
      <c r="B120" s="21" t="inlineStr">
        <is>
          <t>The Olm</t>
        </is>
      </c>
      <c r="C120" s="22">
        <f>'Turn Summary'!C121</f>
        <v/>
      </c>
      <c r="D120" s="22" t="n"/>
      <c r="E120" s="22" t="n"/>
      <c r="F120" s="22" t="n"/>
      <c r="G120" s="22" t="n"/>
      <c r="H120" s="22" t="n"/>
      <c r="I120" s="22" t="n"/>
      <c r="J120" s="22" t="n"/>
    </row>
    <row r="121">
      <c r="A121" s="23" t="n">
        <v>14</v>
      </c>
      <c r="B121" s="24" t="inlineStr">
        <is>
          <t>The Knotsmen</t>
        </is>
      </c>
      <c r="C121" s="25">
        <f>'Turn Summary'!C122</f>
        <v/>
      </c>
      <c r="D121" s="25" t="n"/>
      <c r="E121" s="25" t="n"/>
      <c r="F121" s="25" t="n"/>
      <c r="G121" s="25" t="n"/>
      <c r="H121" s="25" t="n"/>
      <c r="I121" s="25" t="n"/>
      <c r="J121" s="25" t="n"/>
    </row>
    <row r="122">
      <c r="A122" s="23" t="n">
        <v>14</v>
      </c>
      <c r="B122" s="24" t="inlineStr">
        <is>
          <t>The Aelf-Adal</t>
        </is>
      </c>
      <c r="C122" s="25">
        <f>'Turn Summary'!C123</f>
        <v/>
      </c>
      <c r="D122" s="25" t="n"/>
      <c r="E122" s="25" t="n"/>
      <c r="F122" s="25" t="n"/>
      <c r="G122" s="25" t="n"/>
      <c r="H122" s="25" t="n"/>
      <c r="I122" s="25" t="n"/>
      <c r="J122" s="25" t="n"/>
    </row>
    <row r="123">
      <c r="A123" s="23" t="n">
        <v>14</v>
      </c>
      <c r="B123" s="24" t="inlineStr">
        <is>
          <t>The Funginids</t>
        </is>
      </c>
      <c r="C123" s="25">
        <f>'Turn Summary'!C124</f>
        <v/>
      </c>
      <c r="D123" s="25" t="n"/>
      <c r="E123" s="25" t="n"/>
      <c r="F123" s="25" t="n"/>
      <c r="G123" s="25" t="n"/>
      <c r="H123" s="25" t="n"/>
      <c r="I123" s="25" t="n"/>
      <c r="J123" s="25" t="n"/>
    </row>
    <row r="124">
      <c r="A124" s="23" t="n">
        <v>14</v>
      </c>
      <c r="B124" s="24" t="inlineStr">
        <is>
          <t>The dErO</t>
        </is>
      </c>
      <c r="C124" s="25">
        <f>'Turn Summary'!C125</f>
        <v/>
      </c>
      <c r="D124" s="25" t="n"/>
      <c r="E124" s="25" t="n"/>
      <c r="F124" s="25" t="n"/>
      <c r="G124" s="25" t="n"/>
      <c r="H124" s="25" t="n"/>
      <c r="I124" s="25" t="n"/>
      <c r="J124" s="25" t="n"/>
    </row>
    <row r="125">
      <c r="A125" s="23" t="n">
        <v>14</v>
      </c>
      <c r="B125" s="24" t="inlineStr">
        <is>
          <t>The Dvargir</t>
        </is>
      </c>
      <c r="C125" s="25">
        <f>'Turn Summary'!C126</f>
        <v/>
      </c>
      <c r="D125" s="25" t="n"/>
      <c r="E125" s="25" t="n"/>
      <c r="F125" s="25" t="n"/>
      <c r="G125" s="25" t="n"/>
      <c r="H125" s="25" t="n"/>
      <c r="I125" s="25" t="n"/>
      <c r="J125" s="25" t="n"/>
    </row>
    <row r="126">
      <c r="A126" s="23" t="n">
        <v>14</v>
      </c>
      <c r="B126" s="24" t="inlineStr">
        <is>
          <t>The Gnonmen</t>
        </is>
      </c>
      <c r="C126" s="25">
        <f>'Turn Summary'!C127</f>
        <v/>
      </c>
      <c r="D126" s="25" t="n"/>
      <c r="E126" s="25" t="n"/>
      <c r="F126" s="25" t="n"/>
      <c r="G126" s="25" t="n"/>
      <c r="H126" s="25" t="n"/>
      <c r="I126" s="25" t="n"/>
      <c r="J126" s="25" t="n"/>
    </row>
    <row r="127">
      <c r="A127" s="23" t="n">
        <v>14</v>
      </c>
      <c r="B127" s="24" t="inlineStr">
        <is>
          <t>The Substratals</t>
        </is>
      </c>
      <c r="C127" s="25">
        <f>'Turn Summary'!C128</f>
        <v/>
      </c>
      <c r="D127" s="25" t="n"/>
      <c r="E127" s="25" t="n"/>
      <c r="F127" s="25" t="n"/>
      <c r="G127" s="25" t="n"/>
      <c r="H127" s="25" t="n"/>
      <c r="I127" s="25" t="n"/>
      <c r="J127" s="25" t="n"/>
    </row>
    <row r="128">
      <c r="A128" s="23" t="n">
        <v>14</v>
      </c>
      <c r="B128" s="24" t="inlineStr">
        <is>
          <t>The Deep Janeen</t>
        </is>
      </c>
      <c r="C128" s="25">
        <f>'Turn Summary'!C129</f>
        <v/>
      </c>
      <c r="D128" s="25" t="n"/>
      <c r="E128" s="25" t="n"/>
      <c r="F128" s="25" t="n"/>
      <c r="G128" s="25" t="n"/>
      <c r="H128" s="25" t="n"/>
      <c r="I128" s="25" t="n"/>
      <c r="J128" s="25" t="n"/>
    </row>
    <row r="129">
      <c r="A129" s="23" t="n">
        <v>14</v>
      </c>
      <c r="B129" s="24" t="inlineStr">
        <is>
          <t>The Olm</t>
        </is>
      </c>
      <c r="C129" s="25">
        <f>'Turn Summary'!C130</f>
        <v/>
      </c>
      <c r="D129" s="25" t="n"/>
      <c r="E129" s="25" t="n"/>
      <c r="F129" s="25" t="n"/>
      <c r="G129" s="25" t="n"/>
      <c r="H129" s="25" t="n"/>
      <c r="I129" s="25" t="n"/>
      <c r="J129" s="25" t="n"/>
    </row>
    <row r="130">
      <c r="A130" s="20" t="n">
        <v>15</v>
      </c>
      <c r="B130" s="21" t="inlineStr">
        <is>
          <t>The Knotsmen</t>
        </is>
      </c>
      <c r="C130" s="22">
        <f>'Turn Summary'!C131</f>
        <v/>
      </c>
      <c r="D130" s="22" t="n"/>
      <c r="E130" s="22" t="n"/>
      <c r="F130" s="22" t="n"/>
      <c r="G130" s="22" t="n"/>
      <c r="H130" s="22" t="n"/>
      <c r="I130" s="22" t="n"/>
      <c r="J130" s="22" t="n"/>
    </row>
    <row r="131">
      <c r="A131" s="20" t="n">
        <v>15</v>
      </c>
      <c r="B131" s="21" t="inlineStr">
        <is>
          <t>The Aelf-Adal</t>
        </is>
      </c>
      <c r="C131" s="22">
        <f>'Turn Summary'!C132</f>
        <v/>
      </c>
      <c r="D131" s="22" t="n"/>
      <c r="E131" s="22" t="n"/>
      <c r="F131" s="22" t="n"/>
      <c r="G131" s="22" t="n"/>
      <c r="H131" s="22" t="n"/>
      <c r="I131" s="22" t="n"/>
      <c r="J131" s="22" t="n"/>
    </row>
    <row r="132">
      <c r="A132" s="20" t="n">
        <v>15</v>
      </c>
      <c r="B132" s="21" t="inlineStr">
        <is>
          <t>The Funginids</t>
        </is>
      </c>
      <c r="C132" s="22">
        <f>'Turn Summary'!C133</f>
        <v/>
      </c>
      <c r="D132" s="22" t="n"/>
      <c r="E132" s="22" t="n"/>
      <c r="F132" s="22" t="n"/>
      <c r="G132" s="22" t="n"/>
      <c r="H132" s="22" t="n"/>
      <c r="I132" s="22" t="n"/>
      <c r="J132" s="22" t="n"/>
    </row>
    <row r="133">
      <c r="A133" s="20" t="n">
        <v>15</v>
      </c>
      <c r="B133" s="21" t="inlineStr">
        <is>
          <t>The dErO</t>
        </is>
      </c>
      <c r="C133" s="22">
        <f>'Turn Summary'!C134</f>
        <v/>
      </c>
      <c r="D133" s="22" t="n"/>
      <c r="E133" s="22" t="n"/>
      <c r="F133" s="22" t="n"/>
      <c r="G133" s="22" t="n"/>
      <c r="H133" s="22" t="n"/>
      <c r="I133" s="22" t="n"/>
      <c r="J133" s="22" t="n"/>
    </row>
    <row r="134">
      <c r="A134" s="20" t="n">
        <v>15</v>
      </c>
      <c r="B134" s="21" t="inlineStr">
        <is>
          <t>The Dvargir</t>
        </is>
      </c>
      <c r="C134" s="22">
        <f>'Turn Summary'!C135</f>
        <v/>
      </c>
      <c r="D134" s="22" t="n"/>
      <c r="E134" s="22" t="n"/>
      <c r="F134" s="22" t="n"/>
      <c r="G134" s="22" t="n"/>
      <c r="H134" s="22" t="n"/>
      <c r="I134" s="22" t="n"/>
      <c r="J134" s="22" t="n"/>
    </row>
    <row r="135">
      <c r="A135" s="20" t="n">
        <v>15</v>
      </c>
      <c r="B135" s="21" t="inlineStr">
        <is>
          <t>The Gnonmen</t>
        </is>
      </c>
      <c r="C135" s="22">
        <f>'Turn Summary'!C136</f>
        <v/>
      </c>
      <c r="D135" s="22" t="n"/>
      <c r="E135" s="22" t="n"/>
      <c r="F135" s="22" t="n"/>
      <c r="G135" s="22" t="n"/>
      <c r="H135" s="22" t="n"/>
      <c r="I135" s="22" t="n"/>
      <c r="J135" s="22" t="n"/>
    </row>
    <row r="136">
      <c r="A136" s="20" t="n">
        <v>15</v>
      </c>
      <c r="B136" s="21" t="inlineStr">
        <is>
          <t>The Substratals</t>
        </is>
      </c>
      <c r="C136" s="22">
        <f>'Turn Summary'!C137</f>
        <v/>
      </c>
      <c r="D136" s="22" t="n"/>
      <c r="E136" s="22" t="n"/>
      <c r="F136" s="22" t="n"/>
      <c r="G136" s="22" t="n"/>
      <c r="H136" s="22" t="n"/>
      <c r="I136" s="22" t="n"/>
      <c r="J136" s="22" t="n"/>
    </row>
    <row r="137">
      <c r="A137" s="20" t="n">
        <v>15</v>
      </c>
      <c r="B137" s="21" t="inlineStr">
        <is>
          <t>The Deep Janeen</t>
        </is>
      </c>
      <c r="C137" s="22">
        <f>'Turn Summary'!C138</f>
        <v/>
      </c>
      <c r="D137" s="22" t="n"/>
      <c r="E137" s="22" t="n"/>
      <c r="F137" s="22" t="n"/>
      <c r="G137" s="22" t="n"/>
      <c r="H137" s="22" t="n"/>
      <c r="I137" s="22" t="n"/>
      <c r="J137" s="22" t="n"/>
    </row>
    <row r="138">
      <c r="A138" s="20" t="n">
        <v>15</v>
      </c>
      <c r="B138" s="21" t="inlineStr">
        <is>
          <t>The Olm</t>
        </is>
      </c>
      <c r="C138" s="22">
        <f>'Turn Summary'!C139</f>
        <v/>
      </c>
      <c r="D138" s="22" t="n"/>
      <c r="E138" s="22" t="n"/>
      <c r="F138" s="22" t="n"/>
      <c r="G138" s="22" t="n"/>
      <c r="H138" s="22" t="n"/>
      <c r="I138" s="22" t="n"/>
      <c r="J138" s="22" t="n"/>
    </row>
    <row r="139">
      <c r="A139" s="23" t="n">
        <v>16</v>
      </c>
      <c r="B139" s="24" t="inlineStr">
        <is>
          <t>The Knotsmen</t>
        </is>
      </c>
      <c r="C139" s="25">
        <f>'Turn Summary'!C140</f>
        <v/>
      </c>
      <c r="D139" s="25" t="n"/>
      <c r="E139" s="25" t="n"/>
      <c r="F139" s="25" t="n"/>
      <c r="G139" s="25" t="n"/>
      <c r="H139" s="25" t="n"/>
      <c r="I139" s="25" t="n"/>
      <c r="J139" s="25" t="n"/>
    </row>
    <row r="140">
      <c r="A140" s="23" t="n">
        <v>16</v>
      </c>
      <c r="B140" s="24" t="inlineStr">
        <is>
          <t>The Aelf-Adal</t>
        </is>
      </c>
      <c r="C140" s="25">
        <f>'Turn Summary'!C141</f>
        <v/>
      </c>
      <c r="D140" s="25" t="n"/>
      <c r="E140" s="25" t="n"/>
      <c r="F140" s="25" t="n"/>
      <c r="G140" s="25" t="n"/>
      <c r="H140" s="25" t="n"/>
      <c r="I140" s="25" t="n"/>
      <c r="J140" s="25" t="n"/>
    </row>
    <row r="141">
      <c r="A141" s="23" t="n">
        <v>16</v>
      </c>
      <c r="B141" s="24" t="inlineStr">
        <is>
          <t>The Funginids</t>
        </is>
      </c>
      <c r="C141" s="25">
        <f>'Turn Summary'!C142</f>
        <v/>
      </c>
      <c r="D141" s="25" t="n"/>
      <c r="E141" s="25" t="n"/>
      <c r="F141" s="25" t="n"/>
      <c r="G141" s="25" t="n"/>
      <c r="H141" s="25" t="n"/>
      <c r="I141" s="25" t="n"/>
      <c r="J141" s="25" t="n"/>
    </row>
    <row r="142">
      <c r="A142" s="23" t="n">
        <v>16</v>
      </c>
      <c r="B142" s="24" t="inlineStr">
        <is>
          <t>The dErO</t>
        </is>
      </c>
      <c r="C142" s="25">
        <f>'Turn Summary'!C143</f>
        <v/>
      </c>
      <c r="D142" s="25" t="n"/>
      <c r="E142" s="25" t="n"/>
      <c r="F142" s="25" t="n"/>
      <c r="G142" s="25" t="n"/>
      <c r="H142" s="25" t="n"/>
      <c r="I142" s="25" t="n"/>
      <c r="J142" s="25" t="n"/>
    </row>
    <row r="143">
      <c r="A143" s="23" t="n">
        <v>16</v>
      </c>
      <c r="B143" s="24" t="inlineStr">
        <is>
          <t>The Dvargir</t>
        </is>
      </c>
      <c r="C143" s="25">
        <f>'Turn Summary'!C144</f>
        <v/>
      </c>
      <c r="D143" s="25" t="n"/>
      <c r="E143" s="25" t="n"/>
      <c r="F143" s="25" t="n"/>
      <c r="G143" s="25" t="n"/>
      <c r="H143" s="25" t="n"/>
      <c r="I143" s="25" t="n"/>
      <c r="J143" s="25" t="n"/>
    </row>
    <row r="144">
      <c r="A144" s="23" t="n">
        <v>16</v>
      </c>
      <c r="B144" s="24" t="inlineStr">
        <is>
          <t>The Gnonmen</t>
        </is>
      </c>
      <c r="C144" s="25">
        <f>'Turn Summary'!C145</f>
        <v/>
      </c>
      <c r="D144" s="25" t="n"/>
      <c r="E144" s="25" t="n"/>
      <c r="F144" s="25" t="n"/>
      <c r="G144" s="25" t="n"/>
      <c r="H144" s="25" t="n"/>
      <c r="I144" s="25" t="n"/>
      <c r="J144" s="25" t="n"/>
    </row>
    <row r="145">
      <c r="A145" s="23" t="n">
        <v>16</v>
      </c>
      <c r="B145" s="24" t="inlineStr">
        <is>
          <t>The Substratals</t>
        </is>
      </c>
      <c r="C145" s="25">
        <f>'Turn Summary'!C146</f>
        <v/>
      </c>
      <c r="D145" s="25" t="n"/>
      <c r="E145" s="25" t="n"/>
      <c r="F145" s="25" t="n"/>
      <c r="G145" s="25" t="n"/>
      <c r="H145" s="25" t="n"/>
      <c r="I145" s="25" t="n"/>
      <c r="J145" s="25" t="n"/>
    </row>
    <row r="146">
      <c r="A146" s="23" t="n">
        <v>16</v>
      </c>
      <c r="B146" s="24" t="inlineStr">
        <is>
          <t>The Deep Janeen</t>
        </is>
      </c>
      <c r="C146" s="25">
        <f>'Turn Summary'!C147</f>
        <v/>
      </c>
      <c r="D146" s="25" t="n"/>
      <c r="E146" s="25" t="n"/>
      <c r="F146" s="25" t="n"/>
      <c r="G146" s="25" t="n"/>
      <c r="H146" s="25" t="n"/>
      <c r="I146" s="25" t="n"/>
      <c r="J146" s="25" t="n"/>
    </row>
    <row r="147">
      <c r="A147" s="23" t="n">
        <v>16</v>
      </c>
      <c r="B147" s="24" t="inlineStr">
        <is>
          <t>The Olm</t>
        </is>
      </c>
      <c r="C147" s="25">
        <f>'Turn Summary'!C148</f>
        <v/>
      </c>
      <c r="D147" s="25" t="n"/>
      <c r="E147" s="25" t="n"/>
      <c r="F147" s="25" t="n"/>
      <c r="G147" s="25" t="n"/>
      <c r="H147" s="25" t="n"/>
      <c r="I147" s="25" t="n"/>
      <c r="J147" s="25" t="n"/>
    </row>
    <row r="148">
      <c r="A148" s="20" t="n">
        <v>17</v>
      </c>
      <c r="B148" s="21" t="inlineStr">
        <is>
          <t>The Knotsmen</t>
        </is>
      </c>
      <c r="C148" s="22">
        <f>'Turn Summary'!C149</f>
        <v/>
      </c>
      <c r="D148" s="22" t="n"/>
      <c r="E148" s="22" t="n"/>
      <c r="F148" s="22" t="n"/>
      <c r="G148" s="22" t="n"/>
      <c r="H148" s="22" t="n"/>
      <c r="I148" s="22" t="n"/>
      <c r="J148" s="22" t="n"/>
    </row>
    <row r="149">
      <c r="A149" s="20" t="n">
        <v>17</v>
      </c>
      <c r="B149" s="21" t="inlineStr">
        <is>
          <t>The Aelf-Adal</t>
        </is>
      </c>
      <c r="C149" s="22">
        <f>'Turn Summary'!C150</f>
        <v/>
      </c>
      <c r="D149" s="22" t="n"/>
      <c r="E149" s="22" t="n"/>
      <c r="F149" s="22" t="n"/>
      <c r="G149" s="22" t="n"/>
      <c r="H149" s="22" t="n"/>
      <c r="I149" s="22" t="n"/>
      <c r="J149" s="22" t="n"/>
    </row>
    <row r="150">
      <c r="A150" s="20" t="n">
        <v>17</v>
      </c>
      <c r="B150" s="21" t="inlineStr">
        <is>
          <t>The Funginids</t>
        </is>
      </c>
      <c r="C150" s="22">
        <f>'Turn Summary'!C151</f>
        <v/>
      </c>
      <c r="D150" s="22" t="n"/>
      <c r="E150" s="22" t="n"/>
      <c r="F150" s="22" t="n"/>
      <c r="G150" s="22" t="n"/>
      <c r="H150" s="22" t="n"/>
      <c r="I150" s="22" t="n"/>
      <c r="J150" s="22" t="n"/>
    </row>
    <row r="151">
      <c r="A151" s="20" t="n">
        <v>17</v>
      </c>
      <c r="B151" s="21" t="inlineStr">
        <is>
          <t>The dErO</t>
        </is>
      </c>
      <c r="C151" s="22">
        <f>'Turn Summary'!C152</f>
        <v/>
      </c>
      <c r="D151" s="22" t="n"/>
      <c r="E151" s="22" t="n"/>
      <c r="F151" s="22" t="n"/>
      <c r="G151" s="22" t="n"/>
      <c r="H151" s="22" t="n"/>
      <c r="I151" s="22" t="n"/>
      <c r="J151" s="22" t="n"/>
    </row>
    <row r="152">
      <c r="A152" s="20" t="n">
        <v>17</v>
      </c>
      <c r="B152" s="21" t="inlineStr">
        <is>
          <t>The Dvargir</t>
        </is>
      </c>
      <c r="C152" s="22">
        <f>'Turn Summary'!C153</f>
        <v/>
      </c>
      <c r="D152" s="22" t="n"/>
      <c r="E152" s="22" t="n"/>
      <c r="F152" s="22" t="n"/>
      <c r="G152" s="22" t="n"/>
      <c r="H152" s="22" t="n"/>
      <c r="I152" s="22" t="n"/>
      <c r="J152" s="22" t="n"/>
    </row>
    <row r="153">
      <c r="A153" s="20" t="n">
        <v>17</v>
      </c>
      <c r="B153" s="21" t="inlineStr">
        <is>
          <t>The Gnonmen</t>
        </is>
      </c>
      <c r="C153" s="22">
        <f>'Turn Summary'!C154</f>
        <v/>
      </c>
      <c r="D153" s="22" t="n"/>
      <c r="E153" s="22" t="n"/>
      <c r="F153" s="22" t="n"/>
      <c r="G153" s="22" t="n"/>
      <c r="H153" s="22" t="n"/>
      <c r="I153" s="22" t="n"/>
      <c r="J153" s="22" t="n"/>
    </row>
    <row r="154">
      <c r="A154" s="20" t="n">
        <v>17</v>
      </c>
      <c r="B154" s="21" t="inlineStr">
        <is>
          <t>The Substratals</t>
        </is>
      </c>
      <c r="C154" s="22">
        <f>'Turn Summary'!C155</f>
        <v/>
      </c>
      <c r="D154" s="22" t="n"/>
      <c r="E154" s="22" t="n"/>
      <c r="F154" s="22" t="n"/>
      <c r="G154" s="22" t="n"/>
      <c r="H154" s="22" t="n"/>
      <c r="I154" s="22" t="n"/>
      <c r="J154" s="22" t="n"/>
    </row>
    <row r="155">
      <c r="A155" s="20" t="n">
        <v>17</v>
      </c>
      <c r="B155" s="21" t="inlineStr">
        <is>
          <t>The Deep Janeen</t>
        </is>
      </c>
      <c r="C155" s="22">
        <f>'Turn Summary'!C156</f>
        <v/>
      </c>
      <c r="D155" s="22" t="n"/>
      <c r="E155" s="22" t="n"/>
      <c r="F155" s="22" t="n"/>
      <c r="G155" s="22" t="n"/>
      <c r="H155" s="22" t="n"/>
      <c r="I155" s="22" t="n"/>
      <c r="J155" s="22" t="n"/>
    </row>
    <row r="156">
      <c r="A156" s="20" t="n">
        <v>17</v>
      </c>
      <c r="B156" s="21" t="inlineStr">
        <is>
          <t>The Olm</t>
        </is>
      </c>
      <c r="C156" s="22">
        <f>'Turn Summary'!C157</f>
        <v/>
      </c>
      <c r="D156" s="22" t="n"/>
      <c r="E156" s="22" t="n"/>
      <c r="F156" s="22" t="n"/>
      <c r="G156" s="22" t="n"/>
      <c r="H156" s="22" t="n"/>
      <c r="I156" s="22" t="n"/>
      <c r="J156" s="22" t="n"/>
    </row>
    <row r="157">
      <c r="A157" s="23" t="n">
        <v>18</v>
      </c>
      <c r="B157" s="24" t="inlineStr">
        <is>
          <t>The Knotsmen</t>
        </is>
      </c>
      <c r="C157" s="25">
        <f>'Turn Summary'!C158</f>
        <v/>
      </c>
      <c r="D157" s="25" t="n"/>
      <c r="E157" s="25" t="n"/>
      <c r="F157" s="25" t="n"/>
      <c r="G157" s="25" t="n"/>
      <c r="H157" s="25" t="n"/>
      <c r="I157" s="25" t="n"/>
      <c r="J157" s="25" t="n"/>
    </row>
    <row r="158">
      <c r="A158" s="23" t="n">
        <v>18</v>
      </c>
      <c r="B158" s="24" t="inlineStr">
        <is>
          <t>The Aelf-Adal</t>
        </is>
      </c>
      <c r="C158" s="25">
        <f>'Turn Summary'!C159</f>
        <v/>
      </c>
      <c r="D158" s="25" t="n"/>
      <c r="E158" s="25" t="n"/>
      <c r="F158" s="25" t="n"/>
      <c r="G158" s="25" t="n"/>
      <c r="H158" s="25" t="n"/>
      <c r="I158" s="25" t="n"/>
      <c r="J158" s="25" t="n"/>
    </row>
    <row r="159">
      <c r="A159" s="23" t="n">
        <v>18</v>
      </c>
      <c r="B159" s="24" t="inlineStr">
        <is>
          <t>The Funginids</t>
        </is>
      </c>
      <c r="C159" s="25">
        <f>'Turn Summary'!C160</f>
        <v/>
      </c>
      <c r="D159" s="25" t="n"/>
      <c r="E159" s="25" t="n"/>
      <c r="F159" s="25" t="n"/>
      <c r="G159" s="25" t="n"/>
      <c r="H159" s="25" t="n"/>
      <c r="I159" s="25" t="n"/>
      <c r="J159" s="25" t="n"/>
    </row>
    <row r="160">
      <c r="A160" s="23" t="n">
        <v>18</v>
      </c>
      <c r="B160" s="24" t="inlineStr">
        <is>
          <t>The dErO</t>
        </is>
      </c>
      <c r="C160" s="25">
        <f>'Turn Summary'!C161</f>
        <v/>
      </c>
      <c r="D160" s="25" t="n"/>
      <c r="E160" s="25" t="n"/>
      <c r="F160" s="25" t="n"/>
      <c r="G160" s="25" t="n"/>
      <c r="H160" s="25" t="n"/>
      <c r="I160" s="25" t="n"/>
      <c r="J160" s="25" t="n"/>
    </row>
    <row r="161">
      <c r="A161" s="23" t="n">
        <v>18</v>
      </c>
      <c r="B161" s="24" t="inlineStr">
        <is>
          <t>The Dvargir</t>
        </is>
      </c>
      <c r="C161" s="25">
        <f>'Turn Summary'!C162</f>
        <v/>
      </c>
      <c r="D161" s="25" t="n"/>
      <c r="E161" s="25" t="n"/>
      <c r="F161" s="25" t="n"/>
      <c r="G161" s="25" t="n"/>
      <c r="H161" s="25" t="n"/>
      <c r="I161" s="25" t="n"/>
      <c r="J161" s="25" t="n"/>
    </row>
    <row r="162">
      <c r="A162" s="23" t="n">
        <v>18</v>
      </c>
      <c r="B162" s="24" t="inlineStr">
        <is>
          <t>The Gnonmen</t>
        </is>
      </c>
      <c r="C162" s="25">
        <f>'Turn Summary'!C163</f>
        <v/>
      </c>
      <c r="D162" s="25" t="n"/>
      <c r="E162" s="25" t="n"/>
      <c r="F162" s="25" t="n"/>
      <c r="G162" s="25" t="n"/>
      <c r="H162" s="25" t="n"/>
      <c r="I162" s="25" t="n"/>
      <c r="J162" s="25" t="n"/>
    </row>
    <row r="163">
      <c r="A163" s="23" t="n">
        <v>18</v>
      </c>
      <c r="B163" s="24" t="inlineStr">
        <is>
          <t>The Substratals</t>
        </is>
      </c>
      <c r="C163" s="25">
        <f>'Turn Summary'!C164</f>
        <v/>
      </c>
      <c r="D163" s="25" t="n"/>
      <c r="E163" s="25" t="n"/>
      <c r="F163" s="25" t="n"/>
      <c r="G163" s="25" t="n"/>
      <c r="H163" s="25" t="n"/>
      <c r="I163" s="25" t="n"/>
      <c r="J163" s="25" t="n"/>
    </row>
    <row r="164">
      <c r="A164" s="23" t="n">
        <v>18</v>
      </c>
      <c r="B164" s="24" t="inlineStr">
        <is>
          <t>The Deep Janeen</t>
        </is>
      </c>
      <c r="C164" s="25">
        <f>'Turn Summary'!C165</f>
        <v/>
      </c>
      <c r="D164" s="25" t="n"/>
      <c r="E164" s="25" t="n"/>
      <c r="F164" s="25" t="n"/>
      <c r="G164" s="25" t="n"/>
      <c r="H164" s="25" t="n"/>
      <c r="I164" s="25" t="n"/>
      <c r="J164" s="25" t="n"/>
    </row>
    <row r="165">
      <c r="A165" s="23" t="n">
        <v>18</v>
      </c>
      <c r="B165" s="24" t="inlineStr">
        <is>
          <t>The Olm</t>
        </is>
      </c>
      <c r="C165" s="25">
        <f>'Turn Summary'!C166</f>
        <v/>
      </c>
      <c r="D165" s="25" t="n"/>
      <c r="E165" s="25" t="n"/>
      <c r="F165" s="25" t="n"/>
      <c r="G165" s="25" t="n"/>
      <c r="H165" s="25" t="n"/>
      <c r="I165" s="25" t="n"/>
      <c r="J165" s="25" t="n"/>
    </row>
    <row r="166">
      <c r="A166" s="20" t="n">
        <v>19</v>
      </c>
      <c r="B166" s="21" t="inlineStr">
        <is>
          <t>The Knotsmen</t>
        </is>
      </c>
      <c r="C166" s="22">
        <f>'Turn Summary'!C167</f>
        <v/>
      </c>
      <c r="D166" s="22" t="n"/>
      <c r="E166" s="22" t="n"/>
      <c r="F166" s="22" t="n"/>
      <c r="G166" s="22" t="n"/>
      <c r="H166" s="22" t="n"/>
      <c r="I166" s="22" t="n"/>
      <c r="J166" s="22" t="n"/>
    </row>
    <row r="167">
      <c r="A167" s="20" t="n">
        <v>19</v>
      </c>
      <c r="B167" s="21" t="inlineStr">
        <is>
          <t>The Aelf-Adal</t>
        </is>
      </c>
      <c r="C167" s="22">
        <f>'Turn Summary'!C168</f>
        <v/>
      </c>
      <c r="D167" s="22" t="n"/>
      <c r="E167" s="22" t="n"/>
      <c r="F167" s="22" t="n"/>
      <c r="G167" s="22" t="n"/>
      <c r="H167" s="22" t="n"/>
      <c r="I167" s="22" t="n"/>
      <c r="J167" s="22" t="n"/>
    </row>
    <row r="168">
      <c r="A168" s="20" t="n">
        <v>19</v>
      </c>
      <c r="B168" s="21" t="inlineStr">
        <is>
          <t>The Funginids</t>
        </is>
      </c>
      <c r="C168" s="22">
        <f>'Turn Summary'!C169</f>
        <v/>
      </c>
      <c r="D168" s="22" t="n"/>
      <c r="E168" s="22" t="n"/>
      <c r="F168" s="22" t="n"/>
      <c r="G168" s="22" t="n"/>
      <c r="H168" s="22" t="n"/>
      <c r="I168" s="22" t="n"/>
      <c r="J168" s="22" t="n"/>
    </row>
    <row r="169">
      <c r="A169" s="20" t="n">
        <v>19</v>
      </c>
      <c r="B169" s="21" t="inlineStr">
        <is>
          <t>The dErO</t>
        </is>
      </c>
      <c r="C169" s="22">
        <f>'Turn Summary'!C170</f>
        <v/>
      </c>
      <c r="D169" s="22" t="n"/>
      <c r="E169" s="22" t="n"/>
      <c r="F169" s="22" t="n"/>
      <c r="G169" s="22" t="n"/>
      <c r="H169" s="22" t="n"/>
      <c r="I169" s="22" t="n"/>
      <c r="J169" s="22" t="n"/>
    </row>
    <row r="170">
      <c r="A170" s="20" t="n">
        <v>19</v>
      </c>
      <c r="B170" s="21" t="inlineStr">
        <is>
          <t>The Dvargir</t>
        </is>
      </c>
      <c r="C170" s="22">
        <f>'Turn Summary'!C171</f>
        <v/>
      </c>
      <c r="D170" s="22" t="n"/>
      <c r="E170" s="22" t="n"/>
      <c r="F170" s="22" t="n"/>
      <c r="G170" s="22" t="n"/>
      <c r="H170" s="22" t="n"/>
      <c r="I170" s="22" t="n"/>
      <c r="J170" s="22" t="n"/>
    </row>
    <row r="171">
      <c r="A171" s="20" t="n">
        <v>19</v>
      </c>
      <c r="B171" s="21" t="inlineStr">
        <is>
          <t>The Gnonmen</t>
        </is>
      </c>
      <c r="C171" s="22">
        <f>'Turn Summary'!C172</f>
        <v/>
      </c>
      <c r="D171" s="22" t="n"/>
      <c r="E171" s="22" t="n"/>
      <c r="F171" s="22" t="n"/>
      <c r="G171" s="22" t="n"/>
      <c r="H171" s="22" t="n"/>
      <c r="I171" s="22" t="n"/>
      <c r="J171" s="22" t="n"/>
    </row>
    <row r="172">
      <c r="A172" s="20" t="n">
        <v>19</v>
      </c>
      <c r="B172" s="21" t="inlineStr">
        <is>
          <t>The Substratals</t>
        </is>
      </c>
      <c r="C172" s="22">
        <f>'Turn Summary'!C173</f>
        <v/>
      </c>
      <c r="D172" s="22" t="n"/>
      <c r="E172" s="22" t="n"/>
      <c r="F172" s="22" t="n"/>
      <c r="G172" s="22" t="n"/>
      <c r="H172" s="22" t="n"/>
      <c r="I172" s="22" t="n"/>
      <c r="J172" s="22" t="n"/>
    </row>
    <row r="173">
      <c r="A173" s="20" t="n">
        <v>19</v>
      </c>
      <c r="B173" s="21" t="inlineStr">
        <is>
          <t>The Deep Janeen</t>
        </is>
      </c>
      <c r="C173" s="22">
        <f>'Turn Summary'!C174</f>
        <v/>
      </c>
      <c r="D173" s="22" t="n"/>
      <c r="E173" s="22" t="n"/>
      <c r="F173" s="22" t="n"/>
      <c r="G173" s="22" t="n"/>
      <c r="H173" s="22" t="n"/>
      <c r="I173" s="22" t="n"/>
      <c r="J173" s="22" t="n"/>
    </row>
    <row r="174">
      <c r="A174" s="20" t="n">
        <v>19</v>
      </c>
      <c r="B174" s="21" t="inlineStr">
        <is>
          <t>The Olm</t>
        </is>
      </c>
      <c r="C174" s="22">
        <f>'Turn Summary'!C175</f>
        <v/>
      </c>
      <c r="D174" s="22" t="n"/>
      <c r="E174" s="22" t="n"/>
      <c r="F174" s="22" t="n"/>
      <c r="G174" s="22" t="n"/>
      <c r="H174" s="22" t="n"/>
      <c r="I174" s="22" t="n"/>
      <c r="J174" s="22" t="n"/>
    </row>
    <row r="175">
      <c r="A175" s="23" t="n">
        <v>20</v>
      </c>
      <c r="B175" s="24" t="inlineStr">
        <is>
          <t>The Knotsmen</t>
        </is>
      </c>
      <c r="C175" s="25">
        <f>'Turn Summary'!C176</f>
        <v/>
      </c>
      <c r="D175" s="25" t="n"/>
      <c r="E175" s="25" t="n"/>
      <c r="F175" s="25" t="n"/>
      <c r="G175" s="25" t="n"/>
      <c r="H175" s="25" t="n"/>
      <c r="I175" s="25" t="n"/>
      <c r="J175" s="25" t="n"/>
    </row>
    <row r="176">
      <c r="A176" s="23" t="n">
        <v>20</v>
      </c>
      <c r="B176" s="24" t="inlineStr">
        <is>
          <t>The Aelf-Adal</t>
        </is>
      </c>
      <c r="C176" s="25">
        <f>'Turn Summary'!C177</f>
        <v/>
      </c>
      <c r="D176" s="25" t="n"/>
      <c r="E176" s="25" t="n"/>
      <c r="F176" s="25" t="n"/>
      <c r="G176" s="25" t="n"/>
      <c r="H176" s="25" t="n"/>
      <c r="I176" s="25" t="n"/>
      <c r="J176" s="25" t="n"/>
    </row>
    <row r="177">
      <c r="A177" s="23" t="n">
        <v>20</v>
      </c>
      <c r="B177" s="24" t="inlineStr">
        <is>
          <t>The Funginids</t>
        </is>
      </c>
      <c r="C177" s="25">
        <f>'Turn Summary'!C178</f>
        <v/>
      </c>
      <c r="D177" s="25" t="n"/>
      <c r="E177" s="25" t="n"/>
      <c r="F177" s="25" t="n"/>
      <c r="G177" s="25" t="n"/>
      <c r="H177" s="25" t="n"/>
      <c r="I177" s="25" t="n"/>
      <c r="J177" s="25" t="n"/>
    </row>
    <row r="178">
      <c r="A178" s="23" t="n">
        <v>20</v>
      </c>
      <c r="B178" s="24" t="inlineStr">
        <is>
          <t>The dErO</t>
        </is>
      </c>
      <c r="C178" s="25">
        <f>'Turn Summary'!C179</f>
        <v/>
      </c>
      <c r="D178" s="25" t="n"/>
      <c r="E178" s="25" t="n"/>
      <c r="F178" s="25" t="n"/>
      <c r="G178" s="25" t="n"/>
      <c r="H178" s="25" t="n"/>
      <c r="I178" s="25" t="n"/>
      <c r="J178" s="25" t="n"/>
    </row>
    <row r="179">
      <c r="A179" s="23" t="n">
        <v>20</v>
      </c>
      <c r="B179" s="24" t="inlineStr">
        <is>
          <t>The Dvargir</t>
        </is>
      </c>
      <c r="C179" s="25">
        <f>'Turn Summary'!C180</f>
        <v/>
      </c>
      <c r="D179" s="25" t="n"/>
      <c r="E179" s="25" t="n"/>
      <c r="F179" s="25" t="n"/>
      <c r="G179" s="25" t="n"/>
      <c r="H179" s="25" t="n"/>
      <c r="I179" s="25" t="n"/>
      <c r="J179" s="25" t="n"/>
    </row>
    <row r="180">
      <c r="A180" s="23" t="n">
        <v>20</v>
      </c>
      <c r="B180" s="24" t="inlineStr">
        <is>
          <t>The Gnonmen</t>
        </is>
      </c>
      <c r="C180" s="25">
        <f>'Turn Summary'!C181</f>
        <v/>
      </c>
      <c r="D180" s="25" t="n"/>
      <c r="E180" s="25" t="n"/>
      <c r="F180" s="25" t="n"/>
      <c r="G180" s="25" t="n"/>
      <c r="H180" s="25" t="n"/>
      <c r="I180" s="25" t="n"/>
      <c r="J180" s="25" t="n"/>
    </row>
    <row r="181">
      <c r="A181" s="23" t="n">
        <v>20</v>
      </c>
      <c r="B181" s="24" t="inlineStr">
        <is>
          <t>The Substratals</t>
        </is>
      </c>
      <c r="C181" s="25">
        <f>'Turn Summary'!C182</f>
        <v/>
      </c>
      <c r="D181" s="25" t="n"/>
      <c r="E181" s="25" t="n"/>
      <c r="F181" s="25" t="n"/>
      <c r="G181" s="25" t="n"/>
      <c r="H181" s="25" t="n"/>
      <c r="I181" s="25" t="n"/>
      <c r="J181" s="25" t="n"/>
    </row>
    <row r="182">
      <c r="A182" s="23" t="n">
        <v>20</v>
      </c>
      <c r="B182" s="24" t="inlineStr">
        <is>
          <t>The Deep Janeen</t>
        </is>
      </c>
      <c r="C182" s="25">
        <f>'Turn Summary'!C183</f>
        <v/>
      </c>
      <c r="D182" s="25" t="n"/>
      <c r="E182" s="25" t="n"/>
      <c r="F182" s="25" t="n"/>
      <c r="G182" s="25" t="n"/>
      <c r="H182" s="25" t="n"/>
      <c r="I182" s="25" t="n"/>
      <c r="J182" s="25" t="n"/>
    </row>
    <row r="183">
      <c r="A183" s="23" t="n">
        <v>20</v>
      </c>
      <c r="B183" s="24" t="inlineStr">
        <is>
          <t>The Olm</t>
        </is>
      </c>
      <c r="C183" s="25">
        <f>'Turn Summary'!C184</f>
        <v/>
      </c>
      <c r="D183" s="25" t="n"/>
      <c r="E183" s="25" t="n"/>
      <c r="F183" s="25" t="n"/>
      <c r="G183" s="25" t="n"/>
      <c r="H183" s="25" t="n"/>
      <c r="I183" s="25" t="n"/>
      <c r="J183" s="25" t="n"/>
    </row>
  </sheetData>
  <mergeCells count="2">
    <mergeCell ref="A1:J1"/>
    <mergeCell ref="A2:J2"/>
  </mergeCells>
  <dataValidations count="21">
    <dataValidation sqref="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D148 D149 D150 D151 D152 D153 D154 D155 D156 D157 D158 D159 D160 D161 D162 D163 D164 D165 D166 D167 D168 D169 D170 D171 D172 D173 D174 D175 D176 D177 D178 D179 D180 D181 D182 D183" showDropDown="0" showInputMessage="0" showErrorMessage="0" allowBlank="1" type="list">
      <formula1>"Pass,Attack,Move Asset,Heal Damage,Expand Influence,Refit Asset,Create Asset,Hide Asset,Sell Asset,Use Asset Ability,Diplomatic Exchange"</formula1>
    </dataValidation>
    <dataValidation sqref="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showDropDown="0" showInputMessage="0" showErrorMessage="0" allowBlank="1" type="list">
      <formula1>=Locations[Location]</formula1>
    </dataValidation>
    <dataValidation sqref="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showDropDown="0" showInputMessage="0" showErrorMessage="0" allowBlank="1" type="list">
      <formula1>=Register[Asset]</formula1>
    </dataValidation>
    <dataValidation sqref="E4 E13 E22 E31 E40 E49 E58 E67 E76 E85 E94 E103 E112 E121 E130 E139 E148 E157 E166 E175" showDropDown="0" showInputMessage="0" showErrorMessage="0" allowBlank="1" type="list">
      <formula1>=Assets_Knotsmen</formula1>
    </dataValidation>
    <dataValidation sqref="F4 F13 F22 F31 F40 F49 F58 F67 F76 F85 F94 F103 F112 F121 F130 F139 F148 F157 F166 F175" showDropDown="0" showInputMessage="0" showErrorMessage="0" allowBlank="1" type="list">
      <formula1>=Creatable_Knotsmen</formula1>
    </dataValidation>
    <dataValidation sqref="E5 E14 E23 E32 E41 E50 E59 E68 E77 E86 E95 E104 E113 E122 E131 E140 E149 E158 E167 E176" showDropDown="0" showInputMessage="0" showErrorMessage="0" allowBlank="1" type="list">
      <formula1>=Assets_Aelf_Adal</formula1>
    </dataValidation>
    <dataValidation sqref="F5 F14 F23 F32 F41 F50 F59 F68 F77 F86 F95 F104 F113 F122 F131 F140 F149 F158 F167 F176" showDropDown="0" showInputMessage="0" showErrorMessage="0" allowBlank="1" type="list">
      <formula1>=Creatable_Aelf_Adal</formula1>
    </dataValidation>
    <dataValidation sqref="E6 E15 E24 E33 E42 E51 E60 E69 E78 E87 E96 E105 E114 E123 E132 E141 E150 E159 E168 E177" showDropDown="0" showInputMessage="0" showErrorMessage="0" allowBlank="1" type="list">
      <formula1>=Assets_Funginids</formula1>
    </dataValidation>
    <dataValidation sqref="F6 F15 F24 F33 F42 F51 F60 F69 F78 F87 F96 F105 F114 F123 F132 F141 F150 F159 F168 F177" showDropDown="0" showInputMessage="0" showErrorMessage="0" allowBlank="1" type="list">
      <formula1>=Creatable_Funginids</formula1>
    </dataValidation>
    <dataValidation sqref="E7 E16 E25 E34 E43 E52 E61 E70 E79 E88 E97 E106 E115 E124 E133 E142 E151 E160 E169 E178" showDropDown="0" showInputMessage="0" showErrorMessage="0" allowBlank="1" type="list">
      <formula1>=Assets_dErO</formula1>
    </dataValidation>
    <dataValidation sqref="F7 F16 F25 F34 F43 F52 F61 F70 F79 F88 F97 F106 F115 F124 F133 F142 F151 F160 F169 F178" showDropDown="0" showInputMessage="0" showErrorMessage="0" allowBlank="1" type="list">
      <formula1>=Creatable_dErO</formula1>
    </dataValidation>
    <dataValidation sqref="E8 E17 E26 E35 E44 E53 E62 E71 E80 E89 E98 E107 E116 E125 E134 E143 E152 E161 E170 E179" showDropDown="0" showInputMessage="0" showErrorMessage="0" allowBlank="1" type="list">
      <formula1>=Assets_Dvargir</formula1>
    </dataValidation>
    <dataValidation sqref="F8 F17 F26 F35 F44 F53 F62 F71 F80 F89 F98 F107 F116 F125 F134 F143 F152 F161 F170 F179" showDropDown="0" showInputMessage="0" showErrorMessage="0" allowBlank="1" type="list">
      <formula1>=Creatable_Dvargir</formula1>
    </dataValidation>
    <dataValidation sqref="E9 E18 E27 E36 E45 E54 E63 E72 E81 E90 E99 E108 E117 E126 E135 E144 E153 E162 E171 E180" showDropDown="0" showInputMessage="0" showErrorMessage="0" allowBlank="1" type="list">
      <formula1>=Assets_Gnonmen</formula1>
    </dataValidation>
    <dataValidation sqref="F9 F18 F27 F36 F45 F54 F63 F72 F81 F90 F99 F108 F117 F126 F135 F144 F153 F162 F171 F180" showDropDown="0" showInputMessage="0" showErrorMessage="0" allowBlank="1" type="list">
      <formula1>=Creatable_Gnonmen</formula1>
    </dataValidation>
    <dataValidation sqref="E10 E19 E28 E37 E46 E55 E64 E73 E82 E91 E100 E109 E118 E127 E136 E145 E154 E163 E172 E181" showDropDown="0" showInputMessage="0" showErrorMessage="0" allowBlank="1" type="list">
      <formula1>=Assets_Substratals</formula1>
    </dataValidation>
    <dataValidation sqref="F10 F19 F28 F37 F46 F55 F64 F73 F82 F91 F100 F109 F118 F127 F136 F145 F154 F163 F172 F181" showDropDown="0" showInputMessage="0" showErrorMessage="0" allowBlank="1" type="list">
      <formula1>=Creatable_Substratals</formula1>
    </dataValidation>
    <dataValidation sqref="E11 E20 E29 E38 E47 E56 E65 E74 E83 E92 E101 E110 E119 E128 E137 E146 E155 E164 E173 E182" showDropDown="0" showInputMessage="0" showErrorMessage="0" allowBlank="1" type="list">
      <formula1>=Assets_Deep_Janeen</formula1>
    </dataValidation>
    <dataValidation sqref="F11 F20 F29 F38 F47 F56 F65 F74 F83 F92 F101 F110 F119 F128 F137 F146 F155 F164 F173 F182" showDropDown="0" showInputMessage="0" showErrorMessage="0" allowBlank="1" type="list">
      <formula1>=Creatable_Deep_Janeen</formula1>
    </dataValidation>
    <dataValidation sqref="E12 E21 E30 E39 E48 E57 E66 E75 E84 E93 E102 E111 E120 E129 E138 E147 E156 E165 E174 E183" showDropDown="0" showInputMessage="0" showErrorMessage="0" allowBlank="1" type="list">
      <formula1>=Assets_Olm</formula1>
    </dataValidation>
    <dataValidation sqref="F12 F21 F30 F39 F48 F57 F66 F75 F84 F93 F102 F111 F120 F129 F138 F147 F156 F165 F174 F183" showDropDown="0" showInputMessage="0" showErrorMessage="0" allowBlank="1" type="list">
      <formula1>=Creatable_Olm</formula1>
    </dataValidation>
  </dataValidations>
  <pageMargins left="0.75" right="0.75" top="1" bottom="1" header="0.5" footer="0.5"/>
</worksheet>
</file>

<file path=xl/worksheets/sheet23.xml><?xml version="1.0" encoding="utf-8"?>
<worksheet xmlns="http://schemas.openxmlformats.org/spreadsheetml/2006/main">
  <sheetPr>
    <tabColor rgb="00C0504D"/>
    <outlinePr summaryBelow="1" summaryRight="1"/>
    <pageSetUpPr/>
  </sheetPr>
  <dimension ref="A1:Q184"/>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8" customWidth="1" min="2" max="2"/>
    <col width="11" customWidth="1" min="3" max="3"/>
    <col width="9" customWidth="1" min="4" max="4"/>
    <col width="10" customWidth="1" min="5" max="5"/>
    <col width="9" customWidth="1" min="6" max="6"/>
    <col width="12" customWidth="1" min="7" max="7"/>
    <col width="16" customWidth="1" min="8" max="8"/>
    <col width="24" customWidth="1" min="9" max="9"/>
    <col width="22" customWidth="1" min="10" max="10"/>
    <col width="8" customWidth="1" min="11" max="11"/>
    <col width="9" customWidth="1" min="12" max="12"/>
    <col width="8" customWidth="1" min="13" max="13"/>
    <col width="9" customWidth="1" min="14" max="14"/>
    <col width="11" customWidth="1" min="15" max="15"/>
    <col width="8" customWidth="1" min="16" max="16"/>
    <col width="8" customWidth="1" min="17" max="17"/>
  </cols>
  <sheetData>
    <row r="1" ht="24" customHeight="1">
      <c r="A1" s="1" t="inlineStr">
        <is>
          <t>Turn Summary — treasure, upkeep, combat</t>
        </is>
      </c>
    </row>
    <row r="2" ht="50" customHeight="1">
      <c r="A2" s="7" t="inlineStr">
        <is>
          <t>Auto-rolls use RANDBETWEEN, which re-rolls every time the sheet recalculates (press F9). To LOCK a turn's combat result, select the roll cells and Paste Special &gt; Values over them.  Income = CEILING(W/2 + F/4 + C/4).  Upkeep = sum over types of MAX(0, count - rating).  Treasure End = Start + Income - Upkeep - Spent.</t>
        </is>
      </c>
    </row>
    <row r="4">
      <c r="A4" s="16" t="inlineStr">
        <is>
          <t>Turn</t>
        </is>
      </c>
      <c r="B4" s="16" t="inlineStr">
        <is>
          <t>Faction</t>
        </is>
      </c>
      <c r="C4" s="16" t="inlineStr">
        <is>
          <t>Treasure Start</t>
        </is>
      </c>
      <c r="D4" s="16" t="inlineStr">
        <is>
          <t>+Income</t>
        </is>
      </c>
      <c r="E4" s="16" t="inlineStr">
        <is>
          <t>-Upkeep</t>
        </is>
      </c>
      <c r="F4" s="16" t="inlineStr">
        <is>
          <t>-Spent</t>
        </is>
      </c>
      <c r="G4" s="16" t="inlineStr">
        <is>
          <t>Treasure End</t>
        </is>
      </c>
      <c r="H4" s="16" t="inlineStr">
        <is>
          <t>Action</t>
        </is>
      </c>
      <c r="I4" s="16" t="inlineStr">
        <is>
          <t>Acting Asset</t>
        </is>
      </c>
      <c r="J4" s="16" t="inlineStr">
        <is>
          <t>Target Asset</t>
        </is>
      </c>
      <c r="K4" s="16" t="inlineStr">
        <is>
          <t>Atk d10</t>
        </is>
      </c>
      <c r="L4" s="16" t="inlineStr">
        <is>
          <t>Atk Total</t>
        </is>
      </c>
      <c r="M4" s="16" t="inlineStr">
        <is>
          <t>Def d10</t>
        </is>
      </c>
      <c r="N4" s="16" t="inlineStr">
        <is>
          <t>Def Total</t>
        </is>
      </c>
      <c r="O4" s="16" t="inlineStr">
        <is>
          <t>Winner</t>
        </is>
      </c>
      <c r="P4" s="16" t="inlineStr">
        <is>
          <t>Damage</t>
        </is>
      </c>
      <c r="Q4" s="16" t="inlineStr">
        <is>
          <t>Counter</t>
        </is>
      </c>
    </row>
    <row r="5">
      <c r="A5" s="20" t="n">
        <v>1</v>
      </c>
      <c r="B5" s="21" t="inlineStr">
        <is>
          <t>The Knotsmen</t>
        </is>
      </c>
      <c r="C5" s="22">
        <f>XLOOKUP("The Knotsmen",FactionState[Faction],FactionState[Treasure])</f>
        <v/>
      </c>
      <c r="D5" s="22">
        <f>CEILING(XLOOKUP("The Knotsmen",FactionState[Faction],FactionState[Wealth])/2+XLOOKUP("The Knotsmen",FactionState[Faction],FactionState[Force])/4+XLOOKUP("The Knotsmen",FactionState[Faction],FactionState[Cunning])/4, 1)</f>
        <v/>
      </c>
      <c r="E5" s="22">
        <f>MAX(0,COUNTIFS(Register[Faction],"The Knotsmen",Register[Type],"Force")-XLOOKUP("The Knotsmen",FactionState[Faction],FactionState[Force]))+MAX(0,COUNTIFS(Register[Faction],"The Knotsmen",Register[Type],"Cunning")-XLOOKUP("The Knotsmen",FactionState[Faction],FactionState[Cunning]))+MAX(0,COUNTIFS(Register[Faction],"The Knotsmen",Register[Type],"Wealth")-XLOOKUP("The Knotsmen",FactionState[Faction],FactionState[Wealth]))+MAX(0,COUNTIFS(Register[Faction],"The Knotsmen",Register[Type],"Magic")-XLOOKUP("The Knotsmen",FactionState[Faction],FactionState[Magic]))</f>
        <v/>
      </c>
      <c r="F5" s="22">
        <f>IFERROR(VALUE('Action Sheet'!I4),0)</f>
        <v/>
      </c>
      <c r="G5" s="22">
        <f>C5+D5-E5-F5</f>
        <v/>
      </c>
      <c r="H5" s="22">
        <f>'Action Sheet'!D4</f>
        <v/>
      </c>
      <c r="I5" s="22">
        <f>'Action Sheet'!E4</f>
        <v/>
      </c>
      <c r="J5" s="22">
        <f>'Action Sheet'!H4</f>
        <v/>
      </c>
      <c r="K5" s="22">
        <f>IF(H5="Attack",RANDBETWEEN(1,10),"")</f>
        <v/>
      </c>
      <c r="L5" s="22">
        <f>IF(H5="Attack", K5+IFERROR(SWITCH(XLOOKUP(I5,Catalog[Name],Catalog[AtkAttr]),"Force",XLOOKUP("The Knotsmen",FactionState[Faction],FactionState[Force]),"Cunning",XLOOKUP("The Knotsmen",FactionState[Faction],FactionState[Cunning]),"Wealth",XLOOKUP("The Knotsmen",FactionState[Faction],FactionState[Wealth]),"Magic",XLOOKUP("The Knotsmen",FactionState[Faction],FactionState[Magic]),0),0),"")</f>
        <v/>
      </c>
      <c r="M5" s="22">
        <f>IF(H5="Attack",RANDBETWEEN(1,10),"")</f>
        <v/>
      </c>
      <c r="N5" s="22">
        <f>IF(H5="Attack", M5+IFERROR(LET(def_fac, XLOOKUP(J5,Register[Asset],Register[Faction]),def_attr, XLOOKUP(I5,Catalog[Name],Catalog[DefAttr]),SWITCH(def_attr,"Force",XLOOKUP(def_fac,FactionState[Faction],FactionState[Force]),"Cunning",XLOOKUP(def_fac,FactionState[Faction],FactionState[Cunning]),"Wealth",XLOOKUP(def_fac,FactionState[Faction],FactionState[Wealth]),"Magic",XLOOKUP(def_fac,FactionState[Faction],FactionState[Magic]),0)),0),"")</f>
        <v/>
      </c>
      <c r="O5" s="22">
        <f>IF(H5&lt;&gt;"Attack","",IF(AND(ISNUMBER(L5),ISNUMBER(N5)),IF(L5&gt;N5,"Attacker","Defender"),""))</f>
        <v/>
      </c>
      <c r="P5" s="22">
        <f>IF(O5="Attacker",IFERROR(LET(nn,XLOOKUP(I5,Catalog[Name],Catalog[DmgN]),dd,XLOOKUP(I5,Catalog[Name],Catalog[DmgDie]),IF(dd=0,0,RANDBETWEEN(1,dd)+IF(nn&gt;=2,RANDBETWEEN(1,dd),0))),0),"")</f>
        <v/>
      </c>
      <c r="Q5" s="22">
        <f>IF(O5="Defender",IFERROR(LET(nn,XLOOKUP(J5,Catalog[Name],Catalog[CtrN]),dd,XLOOKUP(J5,Catalog[Name],Catalog[CtrDie]),IF(dd=0,0,RANDBETWEEN(1,dd)+IF(nn&gt;=2,RANDBETWEEN(1,dd),0))),0),"")</f>
        <v/>
      </c>
    </row>
    <row r="6">
      <c r="A6" s="20" t="n">
        <v>1</v>
      </c>
      <c r="B6" s="21" t="inlineStr">
        <is>
          <t>The Aelf-Adal</t>
        </is>
      </c>
      <c r="C6" s="22">
        <f>XLOOKUP("The Aelf-Adal",FactionState[Faction],FactionState[Treasure])</f>
        <v/>
      </c>
      <c r="D6" s="22">
        <f>CEILING(XLOOKUP("The Aelf-Adal",FactionState[Faction],FactionState[Wealth])/2+XLOOKUP("The Aelf-Adal",FactionState[Faction],FactionState[Force])/4+XLOOKUP("The Aelf-Adal",FactionState[Faction],FactionState[Cunning])/4, 1)</f>
        <v/>
      </c>
      <c r="E6" s="22">
        <f>MAX(0,COUNTIFS(Register[Faction],"The Aelf-Adal",Register[Type],"Force")-XLOOKUP("The Aelf-Adal",FactionState[Faction],FactionState[Force]))+MAX(0,COUNTIFS(Register[Faction],"The Aelf-Adal",Register[Type],"Cunning")-XLOOKUP("The Aelf-Adal",FactionState[Faction],FactionState[Cunning]))+MAX(0,COUNTIFS(Register[Faction],"The Aelf-Adal",Register[Type],"Wealth")-XLOOKUP("The Aelf-Adal",FactionState[Faction],FactionState[Wealth]))+MAX(0,COUNTIFS(Register[Faction],"The Aelf-Adal",Register[Type],"Magic")-XLOOKUP("The Aelf-Adal",FactionState[Faction],FactionState[Magic]))</f>
        <v/>
      </c>
      <c r="F6" s="22">
        <f>IFERROR(VALUE('Action Sheet'!I5),0)</f>
        <v/>
      </c>
      <c r="G6" s="22">
        <f>C6+D6-E6-F6</f>
        <v/>
      </c>
      <c r="H6" s="22">
        <f>'Action Sheet'!D5</f>
        <v/>
      </c>
      <c r="I6" s="22">
        <f>'Action Sheet'!E5</f>
        <v/>
      </c>
      <c r="J6" s="22">
        <f>'Action Sheet'!H5</f>
        <v/>
      </c>
      <c r="K6" s="22">
        <f>IF(H6="Attack",RANDBETWEEN(1,10),"")</f>
        <v/>
      </c>
      <c r="L6" s="22">
        <f>IF(H6="Attack", K6+IFERROR(SWITCH(XLOOKUP(I6,Catalog[Name],Catalog[AtkAttr]),"Force",XLOOKUP("The Aelf-Adal",FactionState[Faction],FactionState[Force]),"Cunning",XLOOKUP("The Aelf-Adal",FactionState[Faction],FactionState[Cunning]),"Wealth",XLOOKUP("The Aelf-Adal",FactionState[Faction],FactionState[Wealth]),"Magic",XLOOKUP("The Aelf-Adal",FactionState[Faction],FactionState[Magic]),0),0),"")</f>
        <v/>
      </c>
      <c r="M6" s="22">
        <f>IF(H6="Attack",RANDBETWEEN(1,10),"")</f>
        <v/>
      </c>
      <c r="N6" s="22">
        <f>IF(H6="Attack", M6+IFERROR(LET(def_fac, XLOOKUP(J6,Register[Asset],Register[Faction]),def_attr, XLOOKUP(I6,Catalog[Name],Catalog[DefAttr]),SWITCH(def_attr,"Force",XLOOKUP(def_fac,FactionState[Faction],FactionState[Force]),"Cunning",XLOOKUP(def_fac,FactionState[Faction],FactionState[Cunning]),"Wealth",XLOOKUP(def_fac,FactionState[Faction],FactionState[Wealth]),"Magic",XLOOKUP(def_fac,FactionState[Faction],FactionState[Magic]),0)),0),"")</f>
        <v/>
      </c>
      <c r="O6" s="22">
        <f>IF(H6&lt;&gt;"Attack","",IF(AND(ISNUMBER(L6),ISNUMBER(N6)),IF(L6&gt;N6,"Attacker","Defender"),""))</f>
        <v/>
      </c>
      <c r="P6" s="22">
        <f>IF(O6="Attacker",IFERROR(LET(nn,XLOOKUP(I6,Catalog[Name],Catalog[DmgN]),dd,XLOOKUP(I6,Catalog[Name],Catalog[DmgDie]),IF(dd=0,0,RANDBETWEEN(1,dd)+IF(nn&gt;=2,RANDBETWEEN(1,dd),0))),0),"")</f>
        <v/>
      </c>
      <c r="Q6" s="22">
        <f>IF(O6="Defender",IFERROR(LET(nn,XLOOKUP(J6,Catalog[Name],Catalog[CtrN]),dd,XLOOKUP(J6,Catalog[Name],Catalog[CtrDie]),IF(dd=0,0,RANDBETWEEN(1,dd)+IF(nn&gt;=2,RANDBETWEEN(1,dd),0))),0),"")</f>
        <v/>
      </c>
    </row>
    <row r="7">
      <c r="A7" s="20" t="n">
        <v>1</v>
      </c>
      <c r="B7" s="21" t="inlineStr">
        <is>
          <t>The Funginids</t>
        </is>
      </c>
      <c r="C7" s="22">
        <f>XLOOKUP("The Funginids",FactionState[Faction],FactionState[Treasure])</f>
        <v/>
      </c>
      <c r="D7" s="22">
        <f>CEILING(XLOOKUP("The Funginids",FactionState[Faction],FactionState[Wealth])/2+XLOOKUP("The Funginids",FactionState[Faction],FactionState[Force])/4+XLOOKUP("The Funginids",FactionState[Faction],FactionState[Cunning])/4, 1)</f>
        <v/>
      </c>
      <c r="E7" s="22">
        <f>MAX(0,COUNTIFS(Register[Faction],"The Funginids",Register[Type],"Force")-XLOOKUP("The Funginids",FactionState[Faction],FactionState[Force]))+MAX(0,COUNTIFS(Register[Faction],"The Funginids",Register[Type],"Cunning")-XLOOKUP("The Funginids",FactionState[Faction],FactionState[Cunning]))+MAX(0,COUNTIFS(Register[Faction],"The Funginids",Register[Type],"Wealth")-XLOOKUP("The Funginids",FactionState[Faction],FactionState[Wealth]))+MAX(0,COUNTIFS(Register[Faction],"The Funginids",Register[Type],"Magic")-XLOOKUP("The Funginids",FactionState[Faction],FactionState[Magic]))</f>
        <v/>
      </c>
      <c r="F7" s="22">
        <f>IFERROR(VALUE('Action Sheet'!I6),0)</f>
        <v/>
      </c>
      <c r="G7" s="22">
        <f>C7+D7-E7-F7</f>
        <v/>
      </c>
      <c r="H7" s="22">
        <f>'Action Sheet'!D6</f>
        <v/>
      </c>
      <c r="I7" s="22">
        <f>'Action Sheet'!E6</f>
        <v/>
      </c>
      <c r="J7" s="22">
        <f>'Action Sheet'!H6</f>
        <v/>
      </c>
      <c r="K7" s="22">
        <f>IF(H7="Attack",RANDBETWEEN(1,10),"")</f>
        <v/>
      </c>
      <c r="L7" s="22">
        <f>IF(H7="Attack", K7+IFERROR(SWITCH(XLOOKUP(I7,Catalog[Name],Catalog[AtkAttr]),"Force",XLOOKUP("The Funginids",FactionState[Faction],FactionState[Force]),"Cunning",XLOOKUP("The Funginids",FactionState[Faction],FactionState[Cunning]),"Wealth",XLOOKUP("The Funginids",FactionState[Faction],FactionState[Wealth]),"Magic",XLOOKUP("The Funginids",FactionState[Faction],FactionState[Magic]),0),0),"")</f>
        <v/>
      </c>
      <c r="M7" s="22">
        <f>IF(H7="Attack",RANDBETWEEN(1,10),"")</f>
        <v/>
      </c>
      <c r="N7" s="22">
        <f>IF(H7="Attack", M7+IFERROR(LET(def_fac, XLOOKUP(J7,Register[Asset],Register[Faction]),def_attr, XLOOKUP(I7,Catalog[Name],Catalog[DefAttr]),SWITCH(def_attr,"Force",XLOOKUP(def_fac,FactionState[Faction],FactionState[Force]),"Cunning",XLOOKUP(def_fac,FactionState[Faction],FactionState[Cunning]),"Wealth",XLOOKUP(def_fac,FactionState[Faction],FactionState[Wealth]),"Magic",XLOOKUP(def_fac,FactionState[Faction],FactionState[Magic]),0)),0),"")</f>
        <v/>
      </c>
      <c r="O7" s="22">
        <f>IF(H7&lt;&gt;"Attack","",IF(AND(ISNUMBER(L7),ISNUMBER(N7)),IF(L7&gt;N7,"Attacker","Defender"),""))</f>
        <v/>
      </c>
      <c r="P7" s="22">
        <f>IF(O7="Attacker",IFERROR(LET(nn,XLOOKUP(I7,Catalog[Name],Catalog[DmgN]),dd,XLOOKUP(I7,Catalog[Name],Catalog[DmgDie]),IF(dd=0,0,RANDBETWEEN(1,dd)+IF(nn&gt;=2,RANDBETWEEN(1,dd),0))),0),"")</f>
        <v/>
      </c>
      <c r="Q7" s="22">
        <f>IF(O7="Defender",IFERROR(LET(nn,XLOOKUP(J7,Catalog[Name],Catalog[CtrN]),dd,XLOOKUP(J7,Catalog[Name],Catalog[CtrDie]),IF(dd=0,0,RANDBETWEEN(1,dd)+IF(nn&gt;=2,RANDBETWEEN(1,dd),0))),0),"")</f>
        <v/>
      </c>
    </row>
    <row r="8">
      <c r="A8" s="20" t="n">
        <v>1</v>
      </c>
      <c r="B8" s="21" t="inlineStr">
        <is>
          <t>The dErO</t>
        </is>
      </c>
      <c r="C8" s="22">
        <f>XLOOKUP("The dErO",FactionState[Faction],FactionState[Treasure])</f>
        <v/>
      </c>
      <c r="D8" s="22">
        <f>CEILING(XLOOKUP("The dErO",FactionState[Faction],FactionState[Wealth])/2+XLOOKUP("The dErO",FactionState[Faction],FactionState[Force])/4+XLOOKUP("The dErO",FactionState[Faction],FactionState[Cunning])/4, 1)</f>
        <v/>
      </c>
      <c r="E8" s="22">
        <f>MAX(0,COUNTIFS(Register[Faction],"The dErO",Register[Type],"Force")-XLOOKUP("The dErO",FactionState[Faction],FactionState[Force]))+MAX(0,COUNTIFS(Register[Faction],"The dErO",Register[Type],"Cunning")-XLOOKUP("The dErO",FactionState[Faction],FactionState[Cunning]))+MAX(0,COUNTIFS(Register[Faction],"The dErO",Register[Type],"Wealth")-XLOOKUP("The dErO",FactionState[Faction],FactionState[Wealth]))+MAX(0,COUNTIFS(Register[Faction],"The dErO",Register[Type],"Magic")-XLOOKUP("The dErO",FactionState[Faction],FactionState[Magic]))</f>
        <v/>
      </c>
      <c r="F8" s="22">
        <f>IFERROR(VALUE('Action Sheet'!I7),0)</f>
        <v/>
      </c>
      <c r="G8" s="22">
        <f>C8+D8-E8-F8</f>
        <v/>
      </c>
      <c r="H8" s="22">
        <f>'Action Sheet'!D7</f>
        <v/>
      </c>
      <c r="I8" s="22">
        <f>'Action Sheet'!E7</f>
        <v/>
      </c>
      <c r="J8" s="22">
        <f>'Action Sheet'!H7</f>
        <v/>
      </c>
      <c r="K8" s="22">
        <f>IF(H8="Attack",RANDBETWEEN(1,10),"")</f>
        <v/>
      </c>
      <c r="L8" s="22">
        <f>IF(H8="Attack", K8+IFERROR(SWITCH(XLOOKUP(I8,Catalog[Name],Catalog[AtkAttr]),"Force",XLOOKUP("The dErO",FactionState[Faction],FactionState[Force]),"Cunning",XLOOKUP("The dErO",FactionState[Faction],FactionState[Cunning]),"Wealth",XLOOKUP("The dErO",FactionState[Faction],FactionState[Wealth]),"Magic",XLOOKUP("The dErO",FactionState[Faction],FactionState[Magic]),0),0),"")</f>
        <v/>
      </c>
      <c r="M8" s="22">
        <f>IF(H8="Attack",RANDBETWEEN(1,10),"")</f>
        <v/>
      </c>
      <c r="N8" s="22">
        <f>IF(H8="Attack", M8+IFERROR(LET(def_fac, XLOOKUP(J8,Register[Asset],Register[Faction]),def_attr, XLOOKUP(I8,Catalog[Name],Catalog[DefAttr]),SWITCH(def_attr,"Force",XLOOKUP(def_fac,FactionState[Faction],FactionState[Force]),"Cunning",XLOOKUP(def_fac,FactionState[Faction],FactionState[Cunning]),"Wealth",XLOOKUP(def_fac,FactionState[Faction],FactionState[Wealth]),"Magic",XLOOKUP(def_fac,FactionState[Faction],FactionState[Magic]),0)),0),"")</f>
        <v/>
      </c>
      <c r="O8" s="22">
        <f>IF(H8&lt;&gt;"Attack","",IF(AND(ISNUMBER(L8),ISNUMBER(N8)),IF(L8&gt;N8,"Attacker","Defender"),""))</f>
        <v/>
      </c>
      <c r="P8" s="22">
        <f>IF(O8="Attacker",IFERROR(LET(nn,XLOOKUP(I8,Catalog[Name],Catalog[DmgN]),dd,XLOOKUP(I8,Catalog[Name],Catalog[DmgDie]),IF(dd=0,0,RANDBETWEEN(1,dd)+IF(nn&gt;=2,RANDBETWEEN(1,dd),0))),0),"")</f>
        <v/>
      </c>
      <c r="Q8" s="22">
        <f>IF(O8="Defender",IFERROR(LET(nn,XLOOKUP(J8,Catalog[Name],Catalog[CtrN]),dd,XLOOKUP(J8,Catalog[Name],Catalog[CtrDie]),IF(dd=0,0,RANDBETWEEN(1,dd)+IF(nn&gt;=2,RANDBETWEEN(1,dd),0))),0),"")</f>
        <v/>
      </c>
    </row>
    <row r="9">
      <c r="A9" s="20" t="n">
        <v>1</v>
      </c>
      <c r="B9" s="21" t="inlineStr">
        <is>
          <t>The Dvargir</t>
        </is>
      </c>
      <c r="C9" s="22">
        <f>XLOOKUP("The Dvargir",FactionState[Faction],FactionState[Treasure])</f>
        <v/>
      </c>
      <c r="D9" s="22">
        <f>CEILING(XLOOKUP("The Dvargir",FactionState[Faction],FactionState[Wealth])/2+XLOOKUP("The Dvargir",FactionState[Faction],FactionState[Force])/4+XLOOKUP("The Dvargir",FactionState[Faction],FactionState[Cunning])/4, 1)</f>
        <v/>
      </c>
      <c r="E9" s="22">
        <f>MAX(0,COUNTIFS(Register[Faction],"The Dvargir",Register[Type],"Force")-XLOOKUP("The Dvargir",FactionState[Faction],FactionState[Force]))+MAX(0,COUNTIFS(Register[Faction],"The Dvargir",Register[Type],"Cunning")-XLOOKUP("The Dvargir",FactionState[Faction],FactionState[Cunning]))+MAX(0,COUNTIFS(Register[Faction],"The Dvargir",Register[Type],"Wealth")-XLOOKUP("The Dvargir",FactionState[Faction],FactionState[Wealth]))+MAX(0,COUNTIFS(Register[Faction],"The Dvargir",Register[Type],"Magic")-XLOOKUP("The Dvargir",FactionState[Faction],FactionState[Magic]))</f>
        <v/>
      </c>
      <c r="F9" s="22">
        <f>IFERROR(VALUE('Action Sheet'!I8),0)</f>
        <v/>
      </c>
      <c r="G9" s="22">
        <f>C9+D9-E9-F9</f>
        <v/>
      </c>
      <c r="H9" s="22">
        <f>'Action Sheet'!D8</f>
        <v/>
      </c>
      <c r="I9" s="22">
        <f>'Action Sheet'!E8</f>
        <v/>
      </c>
      <c r="J9" s="22">
        <f>'Action Sheet'!H8</f>
        <v/>
      </c>
      <c r="K9" s="22">
        <f>IF(H9="Attack",RANDBETWEEN(1,10),"")</f>
        <v/>
      </c>
      <c r="L9" s="22">
        <f>IF(H9="Attack", K9+IFERROR(SWITCH(XLOOKUP(I9,Catalog[Name],Catalog[AtkAttr]),"Force",XLOOKUP("The Dvargir",FactionState[Faction],FactionState[Force]),"Cunning",XLOOKUP("The Dvargir",FactionState[Faction],FactionState[Cunning]),"Wealth",XLOOKUP("The Dvargir",FactionState[Faction],FactionState[Wealth]),"Magic",XLOOKUP("The Dvargir",FactionState[Faction],FactionState[Magic]),0),0),"")</f>
        <v/>
      </c>
      <c r="M9" s="22">
        <f>IF(H9="Attack",RANDBETWEEN(1,10),"")</f>
        <v/>
      </c>
      <c r="N9" s="22">
        <f>IF(H9="Attack", M9+IFERROR(LET(def_fac, XLOOKUP(J9,Register[Asset],Register[Faction]),def_attr, XLOOKUP(I9,Catalog[Name],Catalog[DefAttr]),SWITCH(def_attr,"Force",XLOOKUP(def_fac,FactionState[Faction],FactionState[Force]),"Cunning",XLOOKUP(def_fac,FactionState[Faction],FactionState[Cunning]),"Wealth",XLOOKUP(def_fac,FactionState[Faction],FactionState[Wealth]),"Magic",XLOOKUP(def_fac,FactionState[Faction],FactionState[Magic]),0)),0),"")</f>
        <v/>
      </c>
      <c r="O9" s="22">
        <f>IF(H9&lt;&gt;"Attack","",IF(AND(ISNUMBER(L9),ISNUMBER(N9)),IF(L9&gt;N9,"Attacker","Defender"),""))</f>
        <v/>
      </c>
      <c r="P9" s="22">
        <f>IF(O9="Attacker",IFERROR(LET(nn,XLOOKUP(I9,Catalog[Name],Catalog[DmgN]),dd,XLOOKUP(I9,Catalog[Name],Catalog[DmgDie]),IF(dd=0,0,RANDBETWEEN(1,dd)+IF(nn&gt;=2,RANDBETWEEN(1,dd),0))),0),"")</f>
        <v/>
      </c>
      <c r="Q9" s="22">
        <f>IF(O9="Defender",IFERROR(LET(nn,XLOOKUP(J9,Catalog[Name],Catalog[CtrN]),dd,XLOOKUP(J9,Catalog[Name],Catalog[CtrDie]),IF(dd=0,0,RANDBETWEEN(1,dd)+IF(nn&gt;=2,RANDBETWEEN(1,dd),0))),0),"")</f>
        <v/>
      </c>
    </row>
    <row r="10">
      <c r="A10" s="20" t="n">
        <v>1</v>
      </c>
      <c r="B10" s="21" t="inlineStr">
        <is>
          <t>The Gnonmen</t>
        </is>
      </c>
      <c r="C10" s="22">
        <f>XLOOKUP("The Gnonmen",FactionState[Faction],FactionState[Treasure])</f>
        <v/>
      </c>
      <c r="D10" s="22">
        <f>CEILING(XLOOKUP("The Gnonmen",FactionState[Faction],FactionState[Wealth])/2+XLOOKUP("The Gnonmen",FactionState[Faction],FactionState[Force])/4+XLOOKUP("The Gnonmen",FactionState[Faction],FactionState[Cunning])/4, 1)</f>
        <v/>
      </c>
      <c r="E10" s="22">
        <f>MAX(0,COUNTIFS(Register[Faction],"The Gnonmen",Register[Type],"Force")-XLOOKUP("The Gnonmen",FactionState[Faction],FactionState[Force]))+MAX(0,COUNTIFS(Register[Faction],"The Gnonmen",Register[Type],"Cunning")-XLOOKUP("The Gnonmen",FactionState[Faction],FactionState[Cunning]))+MAX(0,COUNTIFS(Register[Faction],"The Gnonmen",Register[Type],"Wealth")-XLOOKUP("The Gnonmen",FactionState[Faction],FactionState[Wealth]))+MAX(0,COUNTIFS(Register[Faction],"The Gnonmen",Register[Type],"Magic")-XLOOKUP("The Gnonmen",FactionState[Faction],FactionState[Magic]))</f>
        <v/>
      </c>
      <c r="F10" s="22">
        <f>IFERROR(VALUE('Action Sheet'!I9),0)</f>
        <v/>
      </c>
      <c r="G10" s="22">
        <f>C10+D10-E10-F10</f>
        <v/>
      </c>
      <c r="H10" s="22">
        <f>'Action Sheet'!D9</f>
        <v/>
      </c>
      <c r="I10" s="22">
        <f>'Action Sheet'!E9</f>
        <v/>
      </c>
      <c r="J10" s="22">
        <f>'Action Sheet'!H9</f>
        <v/>
      </c>
      <c r="K10" s="22">
        <f>IF(H10="Attack",RANDBETWEEN(1,10),"")</f>
        <v/>
      </c>
      <c r="L10" s="22">
        <f>IF(H10="Attack", K10+IFERROR(SWITCH(XLOOKUP(I10,Catalog[Name],Catalog[AtkAttr]),"Force",XLOOKUP("The Gnonmen",FactionState[Faction],FactionState[Force]),"Cunning",XLOOKUP("The Gnonmen",FactionState[Faction],FactionState[Cunning]),"Wealth",XLOOKUP("The Gnonmen",FactionState[Faction],FactionState[Wealth]),"Magic",XLOOKUP("The Gnonmen",FactionState[Faction],FactionState[Magic]),0),0),"")</f>
        <v/>
      </c>
      <c r="M10" s="22">
        <f>IF(H10="Attack",RANDBETWEEN(1,10),"")</f>
        <v/>
      </c>
      <c r="N10" s="22">
        <f>IF(H10="Attack", M10+IFERROR(LET(def_fac, XLOOKUP(J10,Register[Asset],Register[Faction]),def_attr, XLOOKUP(I10,Catalog[Name],Catalog[DefAttr]),SWITCH(def_attr,"Force",XLOOKUP(def_fac,FactionState[Faction],FactionState[Force]),"Cunning",XLOOKUP(def_fac,FactionState[Faction],FactionState[Cunning]),"Wealth",XLOOKUP(def_fac,FactionState[Faction],FactionState[Wealth]),"Magic",XLOOKUP(def_fac,FactionState[Faction],FactionState[Magic]),0)),0),"")</f>
        <v/>
      </c>
      <c r="O10" s="22">
        <f>IF(H10&lt;&gt;"Attack","",IF(AND(ISNUMBER(L10),ISNUMBER(N10)),IF(L10&gt;N10,"Attacker","Defender"),""))</f>
        <v/>
      </c>
      <c r="P10" s="22">
        <f>IF(O10="Attacker",IFERROR(LET(nn,XLOOKUP(I10,Catalog[Name],Catalog[DmgN]),dd,XLOOKUP(I10,Catalog[Name],Catalog[DmgDie]),IF(dd=0,0,RANDBETWEEN(1,dd)+IF(nn&gt;=2,RANDBETWEEN(1,dd),0))),0),"")</f>
        <v/>
      </c>
      <c r="Q10" s="22">
        <f>IF(O10="Defender",IFERROR(LET(nn,XLOOKUP(J10,Catalog[Name],Catalog[CtrN]),dd,XLOOKUP(J10,Catalog[Name],Catalog[CtrDie]),IF(dd=0,0,RANDBETWEEN(1,dd)+IF(nn&gt;=2,RANDBETWEEN(1,dd),0))),0),"")</f>
        <v/>
      </c>
    </row>
    <row r="11">
      <c r="A11" s="20" t="n">
        <v>1</v>
      </c>
      <c r="B11" s="21" t="inlineStr">
        <is>
          <t>The Substratals</t>
        </is>
      </c>
      <c r="C11" s="22">
        <f>XLOOKUP("The Substratals",FactionState[Faction],FactionState[Treasure])</f>
        <v/>
      </c>
      <c r="D11" s="22">
        <f>CEILING(XLOOKUP("The Substratals",FactionState[Faction],FactionState[Wealth])/2+XLOOKUP("The Substratals",FactionState[Faction],FactionState[Force])/4+XLOOKUP("The Substratals",FactionState[Faction],FactionState[Cunning])/4, 1)</f>
        <v/>
      </c>
      <c r="E11" s="22">
        <f>MAX(0,COUNTIFS(Register[Faction],"The Substratals",Register[Type],"Force")-XLOOKUP("The Substratals",FactionState[Faction],FactionState[Force]))+MAX(0,COUNTIFS(Register[Faction],"The Substratals",Register[Type],"Cunning")-XLOOKUP("The Substratals",FactionState[Faction],FactionState[Cunning]))+MAX(0,COUNTIFS(Register[Faction],"The Substratals",Register[Type],"Wealth")-XLOOKUP("The Substratals",FactionState[Faction],FactionState[Wealth]))+MAX(0,COUNTIFS(Register[Faction],"The Substratals",Register[Type],"Magic")-XLOOKUP("The Substratals",FactionState[Faction],FactionState[Magic]))</f>
        <v/>
      </c>
      <c r="F11" s="22">
        <f>IFERROR(VALUE('Action Sheet'!I10),0)</f>
        <v/>
      </c>
      <c r="G11" s="22">
        <f>C11+D11-E11-F11</f>
        <v/>
      </c>
      <c r="H11" s="22">
        <f>'Action Sheet'!D10</f>
        <v/>
      </c>
      <c r="I11" s="22">
        <f>'Action Sheet'!E10</f>
        <v/>
      </c>
      <c r="J11" s="22">
        <f>'Action Sheet'!H10</f>
        <v/>
      </c>
      <c r="K11" s="22">
        <f>IF(H11="Attack",RANDBETWEEN(1,10),"")</f>
        <v/>
      </c>
      <c r="L11" s="22">
        <f>IF(H11="Attack", K11+IFERROR(SWITCH(XLOOKUP(I11,Catalog[Name],Catalog[AtkAttr]),"Force",XLOOKUP("The Substratals",FactionState[Faction],FactionState[Force]),"Cunning",XLOOKUP("The Substratals",FactionState[Faction],FactionState[Cunning]),"Wealth",XLOOKUP("The Substratals",FactionState[Faction],FactionState[Wealth]),"Magic",XLOOKUP("The Substratals",FactionState[Faction],FactionState[Magic]),0),0),"")</f>
        <v/>
      </c>
      <c r="M11" s="22">
        <f>IF(H11="Attack",RANDBETWEEN(1,10),"")</f>
        <v/>
      </c>
      <c r="N11" s="22">
        <f>IF(H11="Attack", M11+IFERROR(LET(def_fac, XLOOKUP(J11,Register[Asset],Register[Faction]),def_attr, XLOOKUP(I11,Catalog[Name],Catalog[DefAttr]),SWITCH(def_attr,"Force",XLOOKUP(def_fac,FactionState[Faction],FactionState[Force]),"Cunning",XLOOKUP(def_fac,FactionState[Faction],FactionState[Cunning]),"Wealth",XLOOKUP(def_fac,FactionState[Faction],FactionState[Wealth]),"Magic",XLOOKUP(def_fac,FactionState[Faction],FactionState[Magic]),0)),0),"")</f>
        <v/>
      </c>
      <c r="O11" s="22">
        <f>IF(H11&lt;&gt;"Attack","",IF(AND(ISNUMBER(L11),ISNUMBER(N11)),IF(L11&gt;N11,"Attacker","Defender"),""))</f>
        <v/>
      </c>
      <c r="P11" s="22">
        <f>IF(O11="Attacker",IFERROR(LET(nn,XLOOKUP(I11,Catalog[Name],Catalog[DmgN]),dd,XLOOKUP(I11,Catalog[Name],Catalog[DmgDie]),IF(dd=0,0,RANDBETWEEN(1,dd)+IF(nn&gt;=2,RANDBETWEEN(1,dd),0))),0),"")</f>
        <v/>
      </c>
      <c r="Q11" s="22">
        <f>IF(O11="Defender",IFERROR(LET(nn,XLOOKUP(J11,Catalog[Name],Catalog[CtrN]),dd,XLOOKUP(J11,Catalog[Name],Catalog[CtrDie]),IF(dd=0,0,RANDBETWEEN(1,dd)+IF(nn&gt;=2,RANDBETWEEN(1,dd),0))),0),"")</f>
        <v/>
      </c>
    </row>
    <row r="12">
      <c r="A12" s="20" t="n">
        <v>1</v>
      </c>
      <c r="B12" s="21" t="inlineStr">
        <is>
          <t>The Deep Janeen</t>
        </is>
      </c>
      <c r="C12" s="22">
        <f>XLOOKUP("The Deep Janeen",FactionState[Faction],FactionState[Treasure])</f>
        <v/>
      </c>
      <c r="D12" s="22">
        <f>CEILING(XLOOKUP("The Deep Janeen",FactionState[Faction],FactionState[Wealth])/2+XLOOKUP("The Deep Janeen",FactionState[Faction],FactionState[Force])/4+XLOOKUP("The Deep Janeen",FactionState[Faction],FactionState[Cunning])/4, 1)</f>
        <v/>
      </c>
      <c r="E12" s="22">
        <f>MAX(0,COUNTIFS(Register[Faction],"The Deep Janeen",Register[Type],"Force")-XLOOKUP("The Deep Janeen",FactionState[Faction],FactionState[Force]))+MAX(0,COUNTIFS(Register[Faction],"The Deep Janeen",Register[Type],"Cunning")-XLOOKUP("The Deep Janeen",FactionState[Faction],FactionState[Cunning]))+MAX(0,COUNTIFS(Register[Faction],"The Deep Janeen",Register[Type],"Wealth")-XLOOKUP("The Deep Janeen",FactionState[Faction],FactionState[Wealth]))+MAX(0,COUNTIFS(Register[Faction],"The Deep Janeen",Register[Type],"Magic")-XLOOKUP("The Deep Janeen",FactionState[Faction],FactionState[Magic]))</f>
        <v/>
      </c>
      <c r="F12" s="22">
        <f>IFERROR(VALUE('Action Sheet'!I11),0)</f>
        <v/>
      </c>
      <c r="G12" s="22">
        <f>C12+D12-E12-F12</f>
        <v/>
      </c>
      <c r="H12" s="22">
        <f>'Action Sheet'!D11</f>
        <v/>
      </c>
      <c r="I12" s="22">
        <f>'Action Sheet'!E11</f>
        <v/>
      </c>
      <c r="J12" s="22">
        <f>'Action Sheet'!H11</f>
        <v/>
      </c>
      <c r="K12" s="22">
        <f>IF(H12="Attack",RANDBETWEEN(1,10),"")</f>
        <v/>
      </c>
      <c r="L12" s="22">
        <f>IF(H12="Attack", K12+IFERROR(SWITCH(XLOOKUP(I12,Catalog[Name],Catalog[AtkAttr]),"Force",XLOOKUP("The Deep Janeen",FactionState[Faction],FactionState[Force]),"Cunning",XLOOKUP("The Deep Janeen",FactionState[Faction],FactionState[Cunning]),"Wealth",XLOOKUP("The Deep Janeen",FactionState[Faction],FactionState[Wealth]),"Magic",XLOOKUP("The Deep Janeen",FactionState[Faction],FactionState[Magic]),0),0),"")</f>
        <v/>
      </c>
      <c r="M12" s="22">
        <f>IF(H12="Attack",RANDBETWEEN(1,10),"")</f>
        <v/>
      </c>
      <c r="N12" s="22">
        <f>IF(H12="Attack", M12+IFERROR(LET(def_fac, XLOOKUP(J12,Register[Asset],Register[Faction]),def_attr, XLOOKUP(I12,Catalog[Name],Catalog[DefAttr]),SWITCH(def_attr,"Force",XLOOKUP(def_fac,FactionState[Faction],FactionState[Force]),"Cunning",XLOOKUP(def_fac,FactionState[Faction],FactionState[Cunning]),"Wealth",XLOOKUP(def_fac,FactionState[Faction],FactionState[Wealth]),"Magic",XLOOKUP(def_fac,FactionState[Faction],FactionState[Magic]),0)),0),"")</f>
        <v/>
      </c>
      <c r="O12" s="22">
        <f>IF(H12&lt;&gt;"Attack","",IF(AND(ISNUMBER(L12),ISNUMBER(N12)),IF(L12&gt;N12,"Attacker","Defender"),""))</f>
        <v/>
      </c>
      <c r="P12" s="22">
        <f>IF(O12="Attacker",IFERROR(LET(nn,XLOOKUP(I12,Catalog[Name],Catalog[DmgN]),dd,XLOOKUP(I12,Catalog[Name],Catalog[DmgDie]),IF(dd=0,0,RANDBETWEEN(1,dd)+IF(nn&gt;=2,RANDBETWEEN(1,dd),0))),0),"")</f>
        <v/>
      </c>
      <c r="Q12" s="22">
        <f>IF(O12="Defender",IFERROR(LET(nn,XLOOKUP(J12,Catalog[Name],Catalog[CtrN]),dd,XLOOKUP(J12,Catalog[Name],Catalog[CtrDie]),IF(dd=0,0,RANDBETWEEN(1,dd)+IF(nn&gt;=2,RANDBETWEEN(1,dd),0))),0),"")</f>
        <v/>
      </c>
    </row>
    <row r="13">
      <c r="A13" s="20" t="n">
        <v>1</v>
      </c>
      <c r="B13" s="21" t="inlineStr">
        <is>
          <t>The Olm</t>
        </is>
      </c>
      <c r="C13" s="22">
        <f>XLOOKUP("The Olm",FactionState[Faction],FactionState[Treasure])</f>
        <v/>
      </c>
      <c r="D13" s="22">
        <f>CEILING(XLOOKUP("The Olm",FactionState[Faction],FactionState[Wealth])/2+XLOOKUP("The Olm",FactionState[Faction],FactionState[Force])/4+XLOOKUP("The Olm",FactionState[Faction],FactionState[Cunning])/4, 1)</f>
        <v/>
      </c>
      <c r="E13" s="22">
        <f>MAX(0,COUNTIFS(Register[Faction],"The Olm",Register[Type],"Force")-XLOOKUP("The Olm",FactionState[Faction],FactionState[Force]))+MAX(0,COUNTIFS(Register[Faction],"The Olm",Register[Type],"Cunning")-XLOOKUP("The Olm",FactionState[Faction],FactionState[Cunning]))+MAX(0,COUNTIFS(Register[Faction],"The Olm",Register[Type],"Wealth")-XLOOKUP("The Olm",FactionState[Faction],FactionState[Wealth]))+MAX(0,COUNTIFS(Register[Faction],"The Olm",Register[Type],"Magic")-XLOOKUP("The Olm",FactionState[Faction],FactionState[Magic]))</f>
        <v/>
      </c>
      <c r="F13" s="22">
        <f>IFERROR(VALUE('Action Sheet'!I12),0)</f>
        <v/>
      </c>
      <c r="G13" s="22">
        <f>C13+D13-E13-F13</f>
        <v/>
      </c>
      <c r="H13" s="22">
        <f>'Action Sheet'!D12</f>
        <v/>
      </c>
      <c r="I13" s="22">
        <f>'Action Sheet'!E12</f>
        <v/>
      </c>
      <c r="J13" s="22">
        <f>'Action Sheet'!H12</f>
        <v/>
      </c>
      <c r="K13" s="22">
        <f>IF(H13="Attack",RANDBETWEEN(1,10),"")</f>
        <v/>
      </c>
      <c r="L13" s="22">
        <f>IF(H13="Attack", K13+IFERROR(SWITCH(XLOOKUP(I13,Catalog[Name],Catalog[AtkAttr]),"Force",XLOOKUP("The Olm",FactionState[Faction],FactionState[Force]),"Cunning",XLOOKUP("The Olm",FactionState[Faction],FactionState[Cunning]),"Wealth",XLOOKUP("The Olm",FactionState[Faction],FactionState[Wealth]),"Magic",XLOOKUP("The Olm",FactionState[Faction],FactionState[Magic]),0),0),"")</f>
        <v/>
      </c>
      <c r="M13" s="22">
        <f>IF(H13="Attack",RANDBETWEEN(1,10),"")</f>
        <v/>
      </c>
      <c r="N13" s="22">
        <f>IF(H13="Attack", M13+IFERROR(LET(def_fac, XLOOKUP(J13,Register[Asset],Register[Faction]),def_attr, XLOOKUP(I13,Catalog[Name],Catalog[DefAttr]),SWITCH(def_attr,"Force",XLOOKUP(def_fac,FactionState[Faction],FactionState[Force]),"Cunning",XLOOKUP(def_fac,FactionState[Faction],FactionState[Cunning]),"Wealth",XLOOKUP(def_fac,FactionState[Faction],FactionState[Wealth]),"Magic",XLOOKUP(def_fac,FactionState[Faction],FactionState[Magic]),0)),0),"")</f>
        <v/>
      </c>
      <c r="O13" s="22">
        <f>IF(H13&lt;&gt;"Attack","",IF(AND(ISNUMBER(L13),ISNUMBER(N13)),IF(L13&gt;N13,"Attacker","Defender"),""))</f>
        <v/>
      </c>
      <c r="P13" s="22">
        <f>IF(O13="Attacker",IFERROR(LET(nn,XLOOKUP(I13,Catalog[Name],Catalog[DmgN]),dd,XLOOKUP(I13,Catalog[Name],Catalog[DmgDie]),IF(dd=0,0,RANDBETWEEN(1,dd)+IF(nn&gt;=2,RANDBETWEEN(1,dd),0))),0),"")</f>
        <v/>
      </c>
      <c r="Q13" s="22">
        <f>IF(O13="Defender",IFERROR(LET(nn,XLOOKUP(J13,Catalog[Name],Catalog[CtrN]),dd,XLOOKUP(J13,Catalog[Name],Catalog[CtrDie]),IF(dd=0,0,RANDBETWEEN(1,dd)+IF(nn&gt;=2,RANDBETWEEN(1,dd),0))),0),"")</f>
        <v/>
      </c>
    </row>
    <row r="14">
      <c r="A14" s="23" t="n">
        <v>2</v>
      </c>
      <c r="B14" s="24" t="inlineStr">
        <is>
          <t>The Knotsmen</t>
        </is>
      </c>
      <c r="C14" s="25">
        <f>G5</f>
        <v/>
      </c>
      <c r="D14" s="25">
        <f>CEILING(XLOOKUP("The Knotsmen",FactionState[Faction],FactionState[Wealth])/2+XLOOKUP("The Knotsmen",FactionState[Faction],FactionState[Force])/4+XLOOKUP("The Knotsmen",FactionState[Faction],FactionState[Cunning])/4, 1)</f>
        <v/>
      </c>
      <c r="E14" s="25">
        <f>MAX(0,COUNTIFS(Register[Faction],"The Knotsmen",Register[Type],"Force")-XLOOKUP("The Knotsmen",FactionState[Faction],FactionState[Force]))+MAX(0,COUNTIFS(Register[Faction],"The Knotsmen",Register[Type],"Cunning")-XLOOKUP("The Knotsmen",FactionState[Faction],FactionState[Cunning]))+MAX(0,COUNTIFS(Register[Faction],"The Knotsmen",Register[Type],"Wealth")-XLOOKUP("The Knotsmen",FactionState[Faction],FactionState[Wealth]))+MAX(0,COUNTIFS(Register[Faction],"The Knotsmen",Register[Type],"Magic")-XLOOKUP("The Knotsmen",FactionState[Faction],FactionState[Magic]))</f>
        <v/>
      </c>
      <c r="F14" s="25">
        <f>IFERROR(VALUE('Action Sheet'!I13),0)</f>
        <v/>
      </c>
      <c r="G14" s="25">
        <f>C14+D14-E14-F14</f>
        <v/>
      </c>
      <c r="H14" s="25">
        <f>'Action Sheet'!D13</f>
        <v/>
      </c>
      <c r="I14" s="25">
        <f>'Action Sheet'!E13</f>
        <v/>
      </c>
      <c r="J14" s="25">
        <f>'Action Sheet'!H13</f>
        <v/>
      </c>
      <c r="K14" s="25">
        <f>IF(H14="Attack",RANDBETWEEN(1,10),"")</f>
        <v/>
      </c>
      <c r="L14" s="25">
        <f>IF(H14="Attack", K14+IFERROR(SWITCH(XLOOKUP(I14,Catalog[Name],Catalog[AtkAttr]),"Force",XLOOKUP("The Knotsmen",FactionState[Faction],FactionState[Force]),"Cunning",XLOOKUP("The Knotsmen",FactionState[Faction],FactionState[Cunning]),"Wealth",XLOOKUP("The Knotsmen",FactionState[Faction],FactionState[Wealth]),"Magic",XLOOKUP("The Knotsmen",FactionState[Faction],FactionState[Magic]),0),0),"")</f>
        <v/>
      </c>
      <c r="M14" s="25">
        <f>IF(H14="Attack",RANDBETWEEN(1,10),"")</f>
        <v/>
      </c>
      <c r="N14" s="25">
        <f>IF(H14="Attack", M14+IFERROR(LET(def_fac, XLOOKUP(J14,Register[Asset],Register[Faction]),def_attr, XLOOKUP(I14,Catalog[Name],Catalog[DefAttr]),SWITCH(def_attr,"Force",XLOOKUP(def_fac,FactionState[Faction],FactionState[Force]),"Cunning",XLOOKUP(def_fac,FactionState[Faction],FactionState[Cunning]),"Wealth",XLOOKUP(def_fac,FactionState[Faction],FactionState[Wealth]),"Magic",XLOOKUP(def_fac,FactionState[Faction],FactionState[Magic]),0)),0),"")</f>
        <v/>
      </c>
      <c r="O14" s="25">
        <f>IF(H14&lt;&gt;"Attack","",IF(AND(ISNUMBER(L14),ISNUMBER(N14)),IF(L14&gt;N14,"Attacker","Defender"),""))</f>
        <v/>
      </c>
      <c r="P14" s="25">
        <f>IF(O14="Attacker",IFERROR(LET(nn,XLOOKUP(I14,Catalog[Name],Catalog[DmgN]),dd,XLOOKUP(I14,Catalog[Name],Catalog[DmgDie]),IF(dd=0,0,RANDBETWEEN(1,dd)+IF(nn&gt;=2,RANDBETWEEN(1,dd),0))),0),"")</f>
        <v/>
      </c>
      <c r="Q14" s="25">
        <f>IF(O14="Defender",IFERROR(LET(nn,XLOOKUP(J14,Catalog[Name],Catalog[CtrN]),dd,XLOOKUP(J14,Catalog[Name],Catalog[CtrDie]),IF(dd=0,0,RANDBETWEEN(1,dd)+IF(nn&gt;=2,RANDBETWEEN(1,dd),0))),0),"")</f>
        <v/>
      </c>
    </row>
    <row r="15">
      <c r="A15" s="23" t="n">
        <v>2</v>
      </c>
      <c r="B15" s="24" t="inlineStr">
        <is>
          <t>The Aelf-Adal</t>
        </is>
      </c>
      <c r="C15" s="25">
        <f>G6</f>
        <v/>
      </c>
      <c r="D15" s="25">
        <f>CEILING(XLOOKUP("The Aelf-Adal",FactionState[Faction],FactionState[Wealth])/2+XLOOKUP("The Aelf-Adal",FactionState[Faction],FactionState[Force])/4+XLOOKUP("The Aelf-Adal",FactionState[Faction],FactionState[Cunning])/4, 1)</f>
        <v/>
      </c>
      <c r="E15" s="25">
        <f>MAX(0,COUNTIFS(Register[Faction],"The Aelf-Adal",Register[Type],"Force")-XLOOKUP("The Aelf-Adal",FactionState[Faction],FactionState[Force]))+MAX(0,COUNTIFS(Register[Faction],"The Aelf-Adal",Register[Type],"Cunning")-XLOOKUP("The Aelf-Adal",FactionState[Faction],FactionState[Cunning]))+MAX(0,COUNTIFS(Register[Faction],"The Aelf-Adal",Register[Type],"Wealth")-XLOOKUP("The Aelf-Adal",FactionState[Faction],FactionState[Wealth]))+MAX(0,COUNTIFS(Register[Faction],"The Aelf-Adal",Register[Type],"Magic")-XLOOKUP("The Aelf-Adal",FactionState[Faction],FactionState[Magic]))</f>
        <v/>
      </c>
      <c r="F15" s="25">
        <f>IFERROR(VALUE('Action Sheet'!I14),0)</f>
        <v/>
      </c>
      <c r="G15" s="25">
        <f>C15+D15-E15-F15</f>
        <v/>
      </c>
      <c r="H15" s="25">
        <f>'Action Sheet'!D14</f>
        <v/>
      </c>
      <c r="I15" s="25">
        <f>'Action Sheet'!E14</f>
        <v/>
      </c>
      <c r="J15" s="25">
        <f>'Action Sheet'!H14</f>
        <v/>
      </c>
      <c r="K15" s="25">
        <f>IF(H15="Attack",RANDBETWEEN(1,10),"")</f>
        <v/>
      </c>
      <c r="L15" s="25">
        <f>IF(H15="Attack", K15+IFERROR(SWITCH(XLOOKUP(I15,Catalog[Name],Catalog[AtkAttr]),"Force",XLOOKUP("The Aelf-Adal",FactionState[Faction],FactionState[Force]),"Cunning",XLOOKUP("The Aelf-Adal",FactionState[Faction],FactionState[Cunning]),"Wealth",XLOOKUP("The Aelf-Adal",FactionState[Faction],FactionState[Wealth]),"Magic",XLOOKUP("The Aelf-Adal",FactionState[Faction],FactionState[Magic]),0),0),"")</f>
        <v/>
      </c>
      <c r="M15" s="25">
        <f>IF(H15="Attack",RANDBETWEEN(1,10),"")</f>
        <v/>
      </c>
      <c r="N15" s="25">
        <f>IF(H15="Attack", M15+IFERROR(LET(def_fac, XLOOKUP(J15,Register[Asset],Register[Faction]),def_attr, XLOOKUP(I15,Catalog[Name],Catalog[DefAttr]),SWITCH(def_attr,"Force",XLOOKUP(def_fac,FactionState[Faction],FactionState[Force]),"Cunning",XLOOKUP(def_fac,FactionState[Faction],FactionState[Cunning]),"Wealth",XLOOKUP(def_fac,FactionState[Faction],FactionState[Wealth]),"Magic",XLOOKUP(def_fac,FactionState[Faction],FactionState[Magic]),0)),0),"")</f>
        <v/>
      </c>
      <c r="O15" s="25">
        <f>IF(H15&lt;&gt;"Attack","",IF(AND(ISNUMBER(L15),ISNUMBER(N15)),IF(L15&gt;N15,"Attacker","Defender"),""))</f>
        <v/>
      </c>
      <c r="P15" s="25">
        <f>IF(O15="Attacker",IFERROR(LET(nn,XLOOKUP(I15,Catalog[Name],Catalog[DmgN]),dd,XLOOKUP(I15,Catalog[Name],Catalog[DmgDie]),IF(dd=0,0,RANDBETWEEN(1,dd)+IF(nn&gt;=2,RANDBETWEEN(1,dd),0))),0),"")</f>
        <v/>
      </c>
      <c r="Q15" s="25">
        <f>IF(O15="Defender",IFERROR(LET(nn,XLOOKUP(J15,Catalog[Name],Catalog[CtrN]),dd,XLOOKUP(J15,Catalog[Name],Catalog[CtrDie]),IF(dd=0,0,RANDBETWEEN(1,dd)+IF(nn&gt;=2,RANDBETWEEN(1,dd),0))),0),"")</f>
        <v/>
      </c>
    </row>
    <row r="16">
      <c r="A16" s="23" t="n">
        <v>2</v>
      </c>
      <c r="B16" s="24" t="inlineStr">
        <is>
          <t>The Funginids</t>
        </is>
      </c>
      <c r="C16" s="25">
        <f>G7</f>
        <v/>
      </c>
      <c r="D16" s="25">
        <f>CEILING(XLOOKUP("The Funginids",FactionState[Faction],FactionState[Wealth])/2+XLOOKUP("The Funginids",FactionState[Faction],FactionState[Force])/4+XLOOKUP("The Funginids",FactionState[Faction],FactionState[Cunning])/4, 1)</f>
        <v/>
      </c>
      <c r="E16" s="25">
        <f>MAX(0,COUNTIFS(Register[Faction],"The Funginids",Register[Type],"Force")-XLOOKUP("The Funginids",FactionState[Faction],FactionState[Force]))+MAX(0,COUNTIFS(Register[Faction],"The Funginids",Register[Type],"Cunning")-XLOOKUP("The Funginids",FactionState[Faction],FactionState[Cunning]))+MAX(0,COUNTIFS(Register[Faction],"The Funginids",Register[Type],"Wealth")-XLOOKUP("The Funginids",FactionState[Faction],FactionState[Wealth]))+MAX(0,COUNTIFS(Register[Faction],"The Funginids",Register[Type],"Magic")-XLOOKUP("The Funginids",FactionState[Faction],FactionState[Magic]))</f>
        <v/>
      </c>
      <c r="F16" s="25">
        <f>IFERROR(VALUE('Action Sheet'!I15),0)</f>
        <v/>
      </c>
      <c r="G16" s="25">
        <f>C16+D16-E16-F16</f>
        <v/>
      </c>
      <c r="H16" s="25">
        <f>'Action Sheet'!D15</f>
        <v/>
      </c>
      <c r="I16" s="25">
        <f>'Action Sheet'!E15</f>
        <v/>
      </c>
      <c r="J16" s="25">
        <f>'Action Sheet'!H15</f>
        <v/>
      </c>
      <c r="K16" s="25">
        <f>IF(H16="Attack",RANDBETWEEN(1,10),"")</f>
        <v/>
      </c>
      <c r="L16" s="25">
        <f>IF(H16="Attack", K16+IFERROR(SWITCH(XLOOKUP(I16,Catalog[Name],Catalog[AtkAttr]),"Force",XLOOKUP("The Funginids",FactionState[Faction],FactionState[Force]),"Cunning",XLOOKUP("The Funginids",FactionState[Faction],FactionState[Cunning]),"Wealth",XLOOKUP("The Funginids",FactionState[Faction],FactionState[Wealth]),"Magic",XLOOKUP("The Funginids",FactionState[Faction],FactionState[Magic]),0),0),"")</f>
        <v/>
      </c>
      <c r="M16" s="25">
        <f>IF(H16="Attack",RANDBETWEEN(1,10),"")</f>
        <v/>
      </c>
      <c r="N16" s="25">
        <f>IF(H16="Attack", M16+IFERROR(LET(def_fac, XLOOKUP(J16,Register[Asset],Register[Faction]),def_attr, XLOOKUP(I16,Catalog[Name],Catalog[DefAttr]),SWITCH(def_attr,"Force",XLOOKUP(def_fac,FactionState[Faction],FactionState[Force]),"Cunning",XLOOKUP(def_fac,FactionState[Faction],FactionState[Cunning]),"Wealth",XLOOKUP(def_fac,FactionState[Faction],FactionState[Wealth]),"Magic",XLOOKUP(def_fac,FactionState[Faction],FactionState[Magic]),0)),0),"")</f>
        <v/>
      </c>
      <c r="O16" s="25">
        <f>IF(H16&lt;&gt;"Attack","",IF(AND(ISNUMBER(L16),ISNUMBER(N16)),IF(L16&gt;N16,"Attacker","Defender"),""))</f>
        <v/>
      </c>
      <c r="P16" s="25">
        <f>IF(O16="Attacker",IFERROR(LET(nn,XLOOKUP(I16,Catalog[Name],Catalog[DmgN]),dd,XLOOKUP(I16,Catalog[Name],Catalog[DmgDie]),IF(dd=0,0,RANDBETWEEN(1,dd)+IF(nn&gt;=2,RANDBETWEEN(1,dd),0))),0),"")</f>
        <v/>
      </c>
      <c r="Q16" s="25">
        <f>IF(O16="Defender",IFERROR(LET(nn,XLOOKUP(J16,Catalog[Name],Catalog[CtrN]),dd,XLOOKUP(J16,Catalog[Name],Catalog[CtrDie]),IF(dd=0,0,RANDBETWEEN(1,dd)+IF(nn&gt;=2,RANDBETWEEN(1,dd),0))),0),"")</f>
        <v/>
      </c>
    </row>
    <row r="17">
      <c r="A17" s="23" t="n">
        <v>2</v>
      </c>
      <c r="B17" s="24" t="inlineStr">
        <is>
          <t>The dErO</t>
        </is>
      </c>
      <c r="C17" s="25">
        <f>G8</f>
        <v/>
      </c>
      <c r="D17" s="25">
        <f>CEILING(XLOOKUP("The dErO",FactionState[Faction],FactionState[Wealth])/2+XLOOKUP("The dErO",FactionState[Faction],FactionState[Force])/4+XLOOKUP("The dErO",FactionState[Faction],FactionState[Cunning])/4, 1)</f>
        <v/>
      </c>
      <c r="E17" s="25">
        <f>MAX(0,COUNTIFS(Register[Faction],"The dErO",Register[Type],"Force")-XLOOKUP("The dErO",FactionState[Faction],FactionState[Force]))+MAX(0,COUNTIFS(Register[Faction],"The dErO",Register[Type],"Cunning")-XLOOKUP("The dErO",FactionState[Faction],FactionState[Cunning]))+MAX(0,COUNTIFS(Register[Faction],"The dErO",Register[Type],"Wealth")-XLOOKUP("The dErO",FactionState[Faction],FactionState[Wealth]))+MAX(0,COUNTIFS(Register[Faction],"The dErO",Register[Type],"Magic")-XLOOKUP("The dErO",FactionState[Faction],FactionState[Magic]))</f>
        <v/>
      </c>
      <c r="F17" s="25">
        <f>IFERROR(VALUE('Action Sheet'!I16),0)</f>
        <v/>
      </c>
      <c r="G17" s="25">
        <f>C17+D17-E17-F17</f>
        <v/>
      </c>
      <c r="H17" s="25">
        <f>'Action Sheet'!D16</f>
        <v/>
      </c>
      <c r="I17" s="25">
        <f>'Action Sheet'!E16</f>
        <v/>
      </c>
      <c r="J17" s="25">
        <f>'Action Sheet'!H16</f>
        <v/>
      </c>
      <c r="K17" s="25">
        <f>IF(H17="Attack",RANDBETWEEN(1,10),"")</f>
        <v/>
      </c>
      <c r="L17" s="25">
        <f>IF(H17="Attack", K17+IFERROR(SWITCH(XLOOKUP(I17,Catalog[Name],Catalog[AtkAttr]),"Force",XLOOKUP("The dErO",FactionState[Faction],FactionState[Force]),"Cunning",XLOOKUP("The dErO",FactionState[Faction],FactionState[Cunning]),"Wealth",XLOOKUP("The dErO",FactionState[Faction],FactionState[Wealth]),"Magic",XLOOKUP("The dErO",FactionState[Faction],FactionState[Magic]),0),0),"")</f>
        <v/>
      </c>
      <c r="M17" s="25">
        <f>IF(H17="Attack",RANDBETWEEN(1,10),"")</f>
        <v/>
      </c>
      <c r="N17" s="25">
        <f>IF(H17="Attack", M17+IFERROR(LET(def_fac, XLOOKUP(J17,Register[Asset],Register[Faction]),def_attr, XLOOKUP(I17,Catalog[Name],Catalog[DefAttr]),SWITCH(def_attr,"Force",XLOOKUP(def_fac,FactionState[Faction],FactionState[Force]),"Cunning",XLOOKUP(def_fac,FactionState[Faction],FactionState[Cunning]),"Wealth",XLOOKUP(def_fac,FactionState[Faction],FactionState[Wealth]),"Magic",XLOOKUP(def_fac,FactionState[Faction],FactionState[Magic]),0)),0),"")</f>
        <v/>
      </c>
      <c r="O17" s="25">
        <f>IF(H17&lt;&gt;"Attack","",IF(AND(ISNUMBER(L17),ISNUMBER(N17)),IF(L17&gt;N17,"Attacker","Defender"),""))</f>
        <v/>
      </c>
      <c r="P17" s="25">
        <f>IF(O17="Attacker",IFERROR(LET(nn,XLOOKUP(I17,Catalog[Name],Catalog[DmgN]),dd,XLOOKUP(I17,Catalog[Name],Catalog[DmgDie]),IF(dd=0,0,RANDBETWEEN(1,dd)+IF(nn&gt;=2,RANDBETWEEN(1,dd),0))),0),"")</f>
        <v/>
      </c>
      <c r="Q17" s="25">
        <f>IF(O17="Defender",IFERROR(LET(nn,XLOOKUP(J17,Catalog[Name],Catalog[CtrN]),dd,XLOOKUP(J17,Catalog[Name],Catalog[CtrDie]),IF(dd=0,0,RANDBETWEEN(1,dd)+IF(nn&gt;=2,RANDBETWEEN(1,dd),0))),0),"")</f>
        <v/>
      </c>
    </row>
    <row r="18">
      <c r="A18" s="23" t="n">
        <v>2</v>
      </c>
      <c r="B18" s="24" t="inlineStr">
        <is>
          <t>The Dvargir</t>
        </is>
      </c>
      <c r="C18" s="25">
        <f>G9</f>
        <v/>
      </c>
      <c r="D18" s="25">
        <f>CEILING(XLOOKUP("The Dvargir",FactionState[Faction],FactionState[Wealth])/2+XLOOKUP("The Dvargir",FactionState[Faction],FactionState[Force])/4+XLOOKUP("The Dvargir",FactionState[Faction],FactionState[Cunning])/4, 1)</f>
        <v/>
      </c>
      <c r="E18" s="25">
        <f>MAX(0,COUNTIFS(Register[Faction],"The Dvargir",Register[Type],"Force")-XLOOKUP("The Dvargir",FactionState[Faction],FactionState[Force]))+MAX(0,COUNTIFS(Register[Faction],"The Dvargir",Register[Type],"Cunning")-XLOOKUP("The Dvargir",FactionState[Faction],FactionState[Cunning]))+MAX(0,COUNTIFS(Register[Faction],"The Dvargir",Register[Type],"Wealth")-XLOOKUP("The Dvargir",FactionState[Faction],FactionState[Wealth]))+MAX(0,COUNTIFS(Register[Faction],"The Dvargir",Register[Type],"Magic")-XLOOKUP("The Dvargir",FactionState[Faction],FactionState[Magic]))</f>
        <v/>
      </c>
      <c r="F18" s="25">
        <f>IFERROR(VALUE('Action Sheet'!I17),0)</f>
        <v/>
      </c>
      <c r="G18" s="25">
        <f>C18+D18-E18-F18</f>
        <v/>
      </c>
      <c r="H18" s="25">
        <f>'Action Sheet'!D17</f>
        <v/>
      </c>
      <c r="I18" s="25">
        <f>'Action Sheet'!E17</f>
        <v/>
      </c>
      <c r="J18" s="25">
        <f>'Action Sheet'!H17</f>
        <v/>
      </c>
      <c r="K18" s="25">
        <f>IF(H18="Attack",RANDBETWEEN(1,10),"")</f>
        <v/>
      </c>
      <c r="L18" s="25">
        <f>IF(H18="Attack", K18+IFERROR(SWITCH(XLOOKUP(I18,Catalog[Name],Catalog[AtkAttr]),"Force",XLOOKUP("The Dvargir",FactionState[Faction],FactionState[Force]),"Cunning",XLOOKUP("The Dvargir",FactionState[Faction],FactionState[Cunning]),"Wealth",XLOOKUP("The Dvargir",FactionState[Faction],FactionState[Wealth]),"Magic",XLOOKUP("The Dvargir",FactionState[Faction],FactionState[Magic]),0),0),"")</f>
        <v/>
      </c>
      <c r="M18" s="25">
        <f>IF(H18="Attack",RANDBETWEEN(1,10),"")</f>
        <v/>
      </c>
      <c r="N18" s="25">
        <f>IF(H18="Attack", M18+IFERROR(LET(def_fac, XLOOKUP(J18,Register[Asset],Register[Faction]),def_attr, XLOOKUP(I18,Catalog[Name],Catalog[DefAttr]),SWITCH(def_attr,"Force",XLOOKUP(def_fac,FactionState[Faction],FactionState[Force]),"Cunning",XLOOKUP(def_fac,FactionState[Faction],FactionState[Cunning]),"Wealth",XLOOKUP(def_fac,FactionState[Faction],FactionState[Wealth]),"Magic",XLOOKUP(def_fac,FactionState[Faction],FactionState[Magic]),0)),0),"")</f>
        <v/>
      </c>
      <c r="O18" s="25">
        <f>IF(H18&lt;&gt;"Attack","",IF(AND(ISNUMBER(L18),ISNUMBER(N18)),IF(L18&gt;N18,"Attacker","Defender"),""))</f>
        <v/>
      </c>
      <c r="P18" s="25">
        <f>IF(O18="Attacker",IFERROR(LET(nn,XLOOKUP(I18,Catalog[Name],Catalog[DmgN]),dd,XLOOKUP(I18,Catalog[Name],Catalog[DmgDie]),IF(dd=0,0,RANDBETWEEN(1,dd)+IF(nn&gt;=2,RANDBETWEEN(1,dd),0))),0),"")</f>
        <v/>
      </c>
      <c r="Q18" s="25">
        <f>IF(O18="Defender",IFERROR(LET(nn,XLOOKUP(J18,Catalog[Name],Catalog[CtrN]),dd,XLOOKUP(J18,Catalog[Name],Catalog[CtrDie]),IF(dd=0,0,RANDBETWEEN(1,dd)+IF(nn&gt;=2,RANDBETWEEN(1,dd),0))),0),"")</f>
        <v/>
      </c>
    </row>
    <row r="19">
      <c r="A19" s="23" t="n">
        <v>2</v>
      </c>
      <c r="B19" s="24" t="inlineStr">
        <is>
          <t>The Gnonmen</t>
        </is>
      </c>
      <c r="C19" s="25">
        <f>G10</f>
        <v/>
      </c>
      <c r="D19" s="25">
        <f>CEILING(XLOOKUP("The Gnonmen",FactionState[Faction],FactionState[Wealth])/2+XLOOKUP("The Gnonmen",FactionState[Faction],FactionState[Force])/4+XLOOKUP("The Gnonmen",FactionState[Faction],FactionState[Cunning])/4, 1)</f>
        <v/>
      </c>
      <c r="E19" s="25">
        <f>MAX(0,COUNTIFS(Register[Faction],"The Gnonmen",Register[Type],"Force")-XLOOKUP("The Gnonmen",FactionState[Faction],FactionState[Force]))+MAX(0,COUNTIFS(Register[Faction],"The Gnonmen",Register[Type],"Cunning")-XLOOKUP("The Gnonmen",FactionState[Faction],FactionState[Cunning]))+MAX(0,COUNTIFS(Register[Faction],"The Gnonmen",Register[Type],"Wealth")-XLOOKUP("The Gnonmen",FactionState[Faction],FactionState[Wealth]))+MAX(0,COUNTIFS(Register[Faction],"The Gnonmen",Register[Type],"Magic")-XLOOKUP("The Gnonmen",FactionState[Faction],FactionState[Magic]))</f>
        <v/>
      </c>
      <c r="F19" s="25">
        <f>IFERROR(VALUE('Action Sheet'!I18),0)</f>
        <v/>
      </c>
      <c r="G19" s="25">
        <f>C19+D19-E19-F19</f>
        <v/>
      </c>
      <c r="H19" s="25">
        <f>'Action Sheet'!D18</f>
        <v/>
      </c>
      <c r="I19" s="25">
        <f>'Action Sheet'!E18</f>
        <v/>
      </c>
      <c r="J19" s="25">
        <f>'Action Sheet'!H18</f>
        <v/>
      </c>
      <c r="K19" s="25">
        <f>IF(H19="Attack",RANDBETWEEN(1,10),"")</f>
        <v/>
      </c>
      <c r="L19" s="25">
        <f>IF(H19="Attack", K19+IFERROR(SWITCH(XLOOKUP(I19,Catalog[Name],Catalog[AtkAttr]),"Force",XLOOKUP("The Gnonmen",FactionState[Faction],FactionState[Force]),"Cunning",XLOOKUP("The Gnonmen",FactionState[Faction],FactionState[Cunning]),"Wealth",XLOOKUP("The Gnonmen",FactionState[Faction],FactionState[Wealth]),"Magic",XLOOKUP("The Gnonmen",FactionState[Faction],FactionState[Magic]),0),0),"")</f>
        <v/>
      </c>
      <c r="M19" s="25">
        <f>IF(H19="Attack",RANDBETWEEN(1,10),"")</f>
        <v/>
      </c>
      <c r="N19" s="25">
        <f>IF(H19="Attack", M19+IFERROR(LET(def_fac, XLOOKUP(J19,Register[Asset],Register[Faction]),def_attr, XLOOKUP(I19,Catalog[Name],Catalog[DefAttr]),SWITCH(def_attr,"Force",XLOOKUP(def_fac,FactionState[Faction],FactionState[Force]),"Cunning",XLOOKUP(def_fac,FactionState[Faction],FactionState[Cunning]),"Wealth",XLOOKUP(def_fac,FactionState[Faction],FactionState[Wealth]),"Magic",XLOOKUP(def_fac,FactionState[Faction],FactionState[Magic]),0)),0),"")</f>
        <v/>
      </c>
      <c r="O19" s="25">
        <f>IF(H19&lt;&gt;"Attack","",IF(AND(ISNUMBER(L19),ISNUMBER(N19)),IF(L19&gt;N19,"Attacker","Defender"),""))</f>
        <v/>
      </c>
      <c r="P19" s="25">
        <f>IF(O19="Attacker",IFERROR(LET(nn,XLOOKUP(I19,Catalog[Name],Catalog[DmgN]),dd,XLOOKUP(I19,Catalog[Name],Catalog[DmgDie]),IF(dd=0,0,RANDBETWEEN(1,dd)+IF(nn&gt;=2,RANDBETWEEN(1,dd),0))),0),"")</f>
        <v/>
      </c>
      <c r="Q19" s="25">
        <f>IF(O19="Defender",IFERROR(LET(nn,XLOOKUP(J19,Catalog[Name],Catalog[CtrN]),dd,XLOOKUP(J19,Catalog[Name],Catalog[CtrDie]),IF(dd=0,0,RANDBETWEEN(1,dd)+IF(nn&gt;=2,RANDBETWEEN(1,dd),0))),0),"")</f>
        <v/>
      </c>
    </row>
    <row r="20">
      <c r="A20" s="23" t="n">
        <v>2</v>
      </c>
      <c r="B20" s="24" t="inlineStr">
        <is>
          <t>The Substratals</t>
        </is>
      </c>
      <c r="C20" s="25">
        <f>G11</f>
        <v/>
      </c>
      <c r="D20" s="25">
        <f>CEILING(XLOOKUP("The Substratals",FactionState[Faction],FactionState[Wealth])/2+XLOOKUP("The Substratals",FactionState[Faction],FactionState[Force])/4+XLOOKUP("The Substratals",FactionState[Faction],FactionState[Cunning])/4, 1)</f>
        <v/>
      </c>
      <c r="E20" s="25">
        <f>MAX(0,COUNTIFS(Register[Faction],"The Substratals",Register[Type],"Force")-XLOOKUP("The Substratals",FactionState[Faction],FactionState[Force]))+MAX(0,COUNTIFS(Register[Faction],"The Substratals",Register[Type],"Cunning")-XLOOKUP("The Substratals",FactionState[Faction],FactionState[Cunning]))+MAX(0,COUNTIFS(Register[Faction],"The Substratals",Register[Type],"Wealth")-XLOOKUP("The Substratals",FactionState[Faction],FactionState[Wealth]))+MAX(0,COUNTIFS(Register[Faction],"The Substratals",Register[Type],"Magic")-XLOOKUP("The Substratals",FactionState[Faction],FactionState[Magic]))</f>
        <v/>
      </c>
      <c r="F20" s="25">
        <f>IFERROR(VALUE('Action Sheet'!I19),0)</f>
        <v/>
      </c>
      <c r="G20" s="25">
        <f>C20+D20-E20-F20</f>
        <v/>
      </c>
      <c r="H20" s="25">
        <f>'Action Sheet'!D19</f>
        <v/>
      </c>
      <c r="I20" s="25">
        <f>'Action Sheet'!E19</f>
        <v/>
      </c>
      <c r="J20" s="25">
        <f>'Action Sheet'!H19</f>
        <v/>
      </c>
      <c r="K20" s="25">
        <f>IF(H20="Attack",RANDBETWEEN(1,10),"")</f>
        <v/>
      </c>
      <c r="L20" s="25">
        <f>IF(H20="Attack", K20+IFERROR(SWITCH(XLOOKUP(I20,Catalog[Name],Catalog[AtkAttr]),"Force",XLOOKUP("The Substratals",FactionState[Faction],FactionState[Force]),"Cunning",XLOOKUP("The Substratals",FactionState[Faction],FactionState[Cunning]),"Wealth",XLOOKUP("The Substratals",FactionState[Faction],FactionState[Wealth]),"Magic",XLOOKUP("The Substratals",FactionState[Faction],FactionState[Magic]),0),0),"")</f>
        <v/>
      </c>
      <c r="M20" s="25">
        <f>IF(H20="Attack",RANDBETWEEN(1,10),"")</f>
        <v/>
      </c>
      <c r="N20" s="25">
        <f>IF(H20="Attack", M20+IFERROR(LET(def_fac, XLOOKUP(J20,Register[Asset],Register[Faction]),def_attr, XLOOKUP(I20,Catalog[Name],Catalog[DefAttr]),SWITCH(def_attr,"Force",XLOOKUP(def_fac,FactionState[Faction],FactionState[Force]),"Cunning",XLOOKUP(def_fac,FactionState[Faction],FactionState[Cunning]),"Wealth",XLOOKUP(def_fac,FactionState[Faction],FactionState[Wealth]),"Magic",XLOOKUP(def_fac,FactionState[Faction],FactionState[Magic]),0)),0),"")</f>
        <v/>
      </c>
      <c r="O20" s="25">
        <f>IF(H20&lt;&gt;"Attack","",IF(AND(ISNUMBER(L20),ISNUMBER(N20)),IF(L20&gt;N20,"Attacker","Defender"),""))</f>
        <v/>
      </c>
      <c r="P20" s="25">
        <f>IF(O20="Attacker",IFERROR(LET(nn,XLOOKUP(I20,Catalog[Name],Catalog[DmgN]),dd,XLOOKUP(I20,Catalog[Name],Catalog[DmgDie]),IF(dd=0,0,RANDBETWEEN(1,dd)+IF(nn&gt;=2,RANDBETWEEN(1,dd),0))),0),"")</f>
        <v/>
      </c>
      <c r="Q20" s="25">
        <f>IF(O20="Defender",IFERROR(LET(nn,XLOOKUP(J20,Catalog[Name],Catalog[CtrN]),dd,XLOOKUP(J20,Catalog[Name],Catalog[CtrDie]),IF(dd=0,0,RANDBETWEEN(1,dd)+IF(nn&gt;=2,RANDBETWEEN(1,dd),0))),0),"")</f>
        <v/>
      </c>
    </row>
    <row r="21">
      <c r="A21" s="23" t="n">
        <v>2</v>
      </c>
      <c r="B21" s="24" t="inlineStr">
        <is>
          <t>The Deep Janeen</t>
        </is>
      </c>
      <c r="C21" s="25">
        <f>G12</f>
        <v/>
      </c>
      <c r="D21" s="25">
        <f>CEILING(XLOOKUP("The Deep Janeen",FactionState[Faction],FactionState[Wealth])/2+XLOOKUP("The Deep Janeen",FactionState[Faction],FactionState[Force])/4+XLOOKUP("The Deep Janeen",FactionState[Faction],FactionState[Cunning])/4, 1)</f>
        <v/>
      </c>
      <c r="E21" s="25">
        <f>MAX(0,COUNTIFS(Register[Faction],"The Deep Janeen",Register[Type],"Force")-XLOOKUP("The Deep Janeen",FactionState[Faction],FactionState[Force]))+MAX(0,COUNTIFS(Register[Faction],"The Deep Janeen",Register[Type],"Cunning")-XLOOKUP("The Deep Janeen",FactionState[Faction],FactionState[Cunning]))+MAX(0,COUNTIFS(Register[Faction],"The Deep Janeen",Register[Type],"Wealth")-XLOOKUP("The Deep Janeen",FactionState[Faction],FactionState[Wealth]))+MAX(0,COUNTIFS(Register[Faction],"The Deep Janeen",Register[Type],"Magic")-XLOOKUP("The Deep Janeen",FactionState[Faction],FactionState[Magic]))</f>
        <v/>
      </c>
      <c r="F21" s="25">
        <f>IFERROR(VALUE('Action Sheet'!I20),0)</f>
        <v/>
      </c>
      <c r="G21" s="25">
        <f>C21+D21-E21-F21</f>
        <v/>
      </c>
      <c r="H21" s="25">
        <f>'Action Sheet'!D20</f>
        <v/>
      </c>
      <c r="I21" s="25">
        <f>'Action Sheet'!E20</f>
        <v/>
      </c>
      <c r="J21" s="25">
        <f>'Action Sheet'!H20</f>
        <v/>
      </c>
      <c r="K21" s="25">
        <f>IF(H21="Attack",RANDBETWEEN(1,10),"")</f>
        <v/>
      </c>
      <c r="L21" s="25">
        <f>IF(H21="Attack", K21+IFERROR(SWITCH(XLOOKUP(I21,Catalog[Name],Catalog[AtkAttr]),"Force",XLOOKUP("The Deep Janeen",FactionState[Faction],FactionState[Force]),"Cunning",XLOOKUP("The Deep Janeen",FactionState[Faction],FactionState[Cunning]),"Wealth",XLOOKUP("The Deep Janeen",FactionState[Faction],FactionState[Wealth]),"Magic",XLOOKUP("The Deep Janeen",FactionState[Faction],FactionState[Magic]),0),0),"")</f>
        <v/>
      </c>
      <c r="M21" s="25">
        <f>IF(H21="Attack",RANDBETWEEN(1,10),"")</f>
        <v/>
      </c>
      <c r="N21" s="25">
        <f>IF(H21="Attack", M21+IFERROR(LET(def_fac, XLOOKUP(J21,Register[Asset],Register[Faction]),def_attr, XLOOKUP(I21,Catalog[Name],Catalog[DefAttr]),SWITCH(def_attr,"Force",XLOOKUP(def_fac,FactionState[Faction],FactionState[Force]),"Cunning",XLOOKUP(def_fac,FactionState[Faction],FactionState[Cunning]),"Wealth",XLOOKUP(def_fac,FactionState[Faction],FactionState[Wealth]),"Magic",XLOOKUP(def_fac,FactionState[Faction],FactionState[Magic]),0)),0),"")</f>
        <v/>
      </c>
      <c r="O21" s="25">
        <f>IF(H21&lt;&gt;"Attack","",IF(AND(ISNUMBER(L21),ISNUMBER(N21)),IF(L21&gt;N21,"Attacker","Defender"),""))</f>
        <v/>
      </c>
      <c r="P21" s="25">
        <f>IF(O21="Attacker",IFERROR(LET(nn,XLOOKUP(I21,Catalog[Name],Catalog[DmgN]),dd,XLOOKUP(I21,Catalog[Name],Catalog[DmgDie]),IF(dd=0,0,RANDBETWEEN(1,dd)+IF(nn&gt;=2,RANDBETWEEN(1,dd),0))),0),"")</f>
        <v/>
      </c>
      <c r="Q21" s="25">
        <f>IF(O21="Defender",IFERROR(LET(nn,XLOOKUP(J21,Catalog[Name],Catalog[CtrN]),dd,XLOOKUP(J21,Catalog[Name],Catalog[CtrDie]),IF(dd=0,0,RANDBETWEEN(1,dd)+IF(nn&gt;=2,RANDBETWEEN(1,dd),0))),0),"")</f>
        <v/>
      </c>
    </row>
    <row r="22">
      <c r="A22" s="23" t="n">
        <v>2</v>
      </c>
      <c r="B22" s="24" t="inlineStr">
        <is>
          <t>The Olm</t>
        </is>
      </c>
      <c r="C22" s="25">
        <f>G13</f>
        <v/>
      </c>
      <c r="D22" s="25">
        <f>CEILING(XLOOKUP("The Olm",FactionState[Faction],FactionState[Wealth])/2+XLOOKUP("The Olm",FactionState[Faction],FactionState[Force])/4+XLOOKUP("The Olm",FactionState[Faction],FactionState[Cunning])/4, 1)</f>
        <v/>
      </c>
      <c r="E22" s="25">
        <f>MAX(0,COUNTIFS(Register[Faction],"The Olm",Register[Type],"Force")-XLOOKUP("The Olm",FactionState[Faction],FactionState[Force]))+MAX(0,COUNTIFS(Register[Faction],"The Olm",Register[Type],"Cunning")-XLOOKUP("The Olm",FactionState[Faction],FactionState[Cunning]))+MAX(0,COUNTIFS(Register[Faction],"The Olm",Register[Type],"Wealth")-XLOOKUP("The Olm",FactionState[Faction],FactionState[Wealth]))+MAX(0,COUNTIFS(Register[Faction],"The Olm",Register[Type],"Magic")-XLOOKUP("The Olm",FactionState[Faction],FactionState[Magic]))</f>
        <v/>
      </c>
      <c r="F22" s="25">
        <f>IFERROR(VALUE('Action Sheet'!I21),0)</f>
        <v/>
      </c>
      <c r="G22" s="25">
        <f>C22+D22-E22-F22</f>
        <v/>
      </c>
      <c r="H22" s="25">
        <f>'Action Sheet'!D21</f>
        <v/>
      </c>
      <c r="I22" s="25">
        <f>'Action Sheet'!E21</f>
        <v/>
      </c>
      <c r="J22" s="25">
        <f>'Action Sheet'!H21</f>
        <v/>
      </c>
      <c r="K22" s="25">
        <f>IF(H22="Attack",RANDBETWEEN(1,10),"")</f>
        <v/>
      </c>
      <c r="L22" s="25">
        <f>IF(H22="Attack", K22+IFERROR(SWITCH(XLOOKUP(I22,Catalog[Name],Catalog[AtkAttr]),"Force",XLOOKUP("The Olm",FactionState[Faction],FactionState[Force]),"Cunning",XLOOKUP("The Olm",FactionState[Faction],FactionState[Cunning]),"Wealth",XLOOKUP("The Olm",FactionState[Faction],FactionState[Wealth]),"Magic",XLOOKUP("The Olm",FactionState[Faction],FactionState[Magic]),0),0),"")</f>
        <v/>
      </c>
      <c r="M22" s="25">
        <f>IF(H22="Attack",RANDBETWEEN(1,10),"")</f>
        <v/>
      </c>
      <c r="N22" s="25">
        <f>IF(H22="Attack", M22+IFERROR(LET(def_fac, XLOOKUP(J22,Register[Asset],Register[Faction]),def_attr, XLOOKUP(I22,Catalog[Name],Catalog[DefAttr]),SWITCH(def_attr,"Force",XLOOKUP(def_fac,FactionState[Faction],FactionState[Force]),"Cunning",XLOOKUP(def_fac,FactionState[Faction],FactionState[Cunning]),"Wealth",XLOOKUP(def_fac,FactionState[Faction],FactionState[Wealth]),"Magic",XLOOKUP(def_fac,FactionState[Faction],FactionState[Magic]),0)),0),"")</f>
        <v/>
      </c>
      <c r="O22" s="25">
        <f>IF(H22&lt;&gt;"Attack","",IF(AND(ISNUMBER(L22),ISNUMBER(N22)),IF(L22&gt;N22,"Attacker","Defender"),""))</f>
        <v/>
      </c>
      <c r="P22" s="25">
        <f>IF(O22="Attacker",IFERROR(LET(nn,XLOOKUP(I22,Catalog[Name],Catalog[DmgN]),dd,XLOOKUP(I22,Catalog[Name],Catalog[DmgDie]),IF(dd=0,0,RANDBETWEEN(1,dd)+IF(nn&gt;=2,RANDBETWEEN(1,dd),0))),0),"")</f>
        <v/>
      </c>
      <c r="Q22" s="25">
        <f>IF(O22="Defender",IFERROR(LET(nn,XLOOKUP(J22,Catalog[Name],Catalog[CtrN]),dd,XLOOKUP(J22,Catalog[Name],Catalog[CtrDie]),IF(dd=0,0,RANDBETWEEN(1,dd)+IF(nn&gt;=2,RANDBETWEEN(1,dd),0))),0),"")</f>
        <v/>
      </c>
    </row>
    <row r="23">
      <c r="A23" s="20" t="n">
        <v>3</v>
      </c>
      <c r="B23" s="21" t="inlineStr">
        <is>
          <t>The Knotsmen</t>
        </is>
      </c>
      <c r="C23" s="22">
        <f>G14</f>
        <v/>
      </c>
      <c r="D23" s="22">
        <f>CEILING(XLOOKUP("The Knotsmen",FactionState[Faction],FactionState[Wealth])/2+XLOOKUP("The Knotsmen",FactionState[Faction],FactionState[Force])/4+XLOOKUP("The Knotsmen",FactionState[Faction],FactionState[Cunning])/4, 1)</f>
        <v/>
      </c>
      <c r="E23" s="22">
        <f>MAX(0,COUNTIFS(Register[Faction],"The Knotsmen",Register[Type],"Force")-XLOOKUP("The Knotsmen",FactionState[Faction],FactionState[Force]))+MAX(0,COUNTIFS(Register[Faction],"The Knotsmen",Register[Type],"Cunning")-XLOOKUP("The Knotsmen",FactionState[Faction],FactionState[Cunning]))+MAX(0,COUNTIFS(Register[Faction],"The Knotsmen",Register[Type],"Wealth")-XLOOKUP("The Knotsmen",FactionState[Faction],FactionState[Wealth]))+MAX(0,COUNTIFS(Register[Faction],"The Knotsmen",Register[Type],"Magic")-XLOOKUP("The Knotsmen",FactionState[Faction],FactionState[Magic]))</f>
        <v/>
      </c>
      <c r="F23" s="22">
        <f>IFERROR(VALUE('Action Sheet'!I22),0)</f>
        <v/>
      </c>
      <c r="G23" s="22">
        <f>C23+D23-E23-F23</f>
        <v/>
      </c>
      <c r="H23" s="22">
        <f>'Action Sheet'!D22</f>
        <v/>
      </c>
      <c r="I23" s="22">
        <f>'Action Sheet'!E22</f>
        <v/>
      </c>
      <c r="J23" s="22">
        <f>'Action Sheet'!H22</f>
        <v/>
      </c>
      <c r="K23" s="22">
        <f>IF(H23="Attack",RANDBETWEEN(1,10),"")</f>
        <v/>
      </c>
      <c r="L23" s="22">
        <f>IF(H23="Attack", K23+IFERROR(SWITCH(XLOOKUP(I23,Catalog[Name],Catalog[AtkAttr]),"Force",XLOOKUP("The Knotsmen",FactionState[Faction],FactionState[Force]),"Cunning",XLOOKUP("The Knotsmen",FactionState[Faction],FactionState[Cunning]),"Wealth",XLOOKUP("The Knotsmen",FactionState[Faction],FactionState[Wealth]),"Magic",XLOOKUP("The Knotsmen",FactionState[Faction],FactionState[Magic]),0),0),"")</f>
        <v/>
      </c>
      <c r="M23" s="22">
        <f>IF(H23="Attack",RANDBETWEEN(1,10),"")</f>
        <v/>
      </c>
      <c r="N23" s="22">
        <f>IF(H23="Attack", M23+IFERROR(LET(def_fac, XLOOKUP(J23,Register[Asset],Register[Faction]),def_attr, XLOOKUP(I23,Catalog[Name],Catalog[DefAttr]),SWITCH(def_attr,"Force",XLOOKUP(def_fac,FactionState[Faction],FactionState[Force]),"Cunning",XLOOKUP(def_fac,FactionState[Faction],FactionState[Cunning]),"Wealth",XLOOKUP(def_fac,FactionState[Faction],FactionState[Wealth]),"Magic",XLOOKUP(def_fac,FactionState[Faction],FactionState[Magic]),0)),0),"")</f>
        <v/>
      </c>
      <c r="O23" s="22">
        <f>IF(H23&lt;&gt;"Attack","",IF(AND(ISNUMBER(L23),ISNUMBER(N23)),IF(L23&gt;N23,"Attacker","Defender"),""))</f>
        <v/>
      </c>
      <c r="P23" s="22">
        <f>IF(O23="Attacker",IFERROR(LET(nn,XLOOKUP(I23,Catalog[Name],Catalog[DmgN]),dd,XLOOKUP(I23,Catalog[Name],Catalog[DmgDie]),IF(dd=0,0,RANDBETWEEN(1,dd)+IF(nn&gt;=2,RANDBETWEEN(1,dd),0))),0),"")</f>
        <v/>
      </c>
      <c r="Q23" s="22">
        <f>IF(O23="Defender",IFERROR(LET(nn,XLOOKUP(J23,Catalog[Name],Catalog[CtrN]),dd,XLOOKUP(J23,Catalog[Name],Catalog[CtrDie]),IF(dd=0,0,RANDBETWEEN(1,dd)+IF(nn&gt;=2,RANDBETWEEN(1,dd),0))),0),"")</f>
        <v/>
      </c>
    </row>
    <row r="24">
      <c r="A24" s="20" t="n">
        <v>3</v>
      </c>
      <c r="B24" s="21" t="inlineStr">
        <is>
          <t>The Aelf-Adal</t>
        </is>
      </c>
      <c r="C24" s="22">
        <f>G15</f>
        <v/>
      </c>
      <c r="D24" s="22">
        <f>CEILING(XLOOKUP("The Aelf-Adal",FactionState[Faction],FactionState[Wealth])/2+XLOOKUP("The Aelf-Adal",FactionState[Faction],FactionState[Force])/4+XLOOKUP("The Aelf-Adal",FactionState[Faction],FactionState[Cunning])/4, 1)</f>
        <v/>
      </c>
      <c r="E24" s="22">
        <f>MAX(0,COUNTIFS(Register[Faction],"The Aelf-Adal",Register[Type],"Force")-XLOOKUP("The Aelf-Adal",FactionState[Faction],FactionState[Force]))+MAX(0,COUNTIFS(Register[Faction],"The Aelf-Adal",Register[Type],"Cunning")-XLOOKUP("The Aelf-Adal",FactionState[Faction],FactionState[Cunning]))+MAX(0,COUNTIFS(Register[Faction],"The Aelf-Adal",Register[Type],"Wealth")-XLOOKUP("The Aelf-Adal",FactionState[Faction],FactionState[Wealth]))+MAX(0,COUNTIFS(Register[Faction],"The Aelf-Adal",Register[Type],"Magic")-XLOOKUP("The Aelf-Adal",FactionState[Faction],FactionState[Magic]))</f>
        <v/>
      </c>
      <c r="F24" s="22">
        <f>IFERROR(VALUE('Action Sheet'!I23),0)</f>
        <v/>
      </c>
      <c r="G24" s="22">
        <f>C24+D24-E24-F24</f>
        <v/>
      </c>
      <c r="H24" s="22">
        <f>'Action Sheet'!D23</f>
        <v/>
      </c>
      <c r="I24" s="22">
        <f>'Action Sheet'!E23</f>
        <v/>
      </c>
      <c r="J24" s="22">
        <f>'Action Sheet'!H23</f>
        <v/>
      </c>
      <c r="K24" s="22">
        <f>IF(H24="Attack",RANDBETWEEN(1,10),"")</f>
        <v/>
      </c>
      <c r="L24" s="22">
        <f>IF(H24="Attack", K24+IFERROR(SWITCH(XLOOKUP(I24,Catalog[Name],Catalog[AtkAttr]),"Force",XLOOKUP("The Aelf-Adal",FactionState[Faction],FactionState[Force]),"Cunning",XLOOKUP("The Aelf-Adal",FactionState[Faction],FactionState[Cunning]),"Wealth",XLOOKUP("The Aelf-Adal",FactionState[Faction],FactionState[Wealth]),"Magic",XLOOKUP("The Aelf-Adal",FactionState[Faction],FactionState[Magic]),0),0),"")</f>
        <v/>
      </c>
      <c r="M24" s="22">
        <f>IF(H24="Attack",RANDBETWEEN(1,10),"")</f>
        <v/>
      </c>
      <c r="N24" s="22">
        <f>IF(H24="Attack", M24+IFERROR(LET(def_fac, XLOOKUP(J24,Register[Asset],Register[Faction]),def_attr, XLOOKUP(I24,Catalog[Name],Catalog[DefAttr]),SWITCH(def_attr,"Force",XLOOKUP(def_fac,FactionState[Faction],FactionState[Force]),"Cunning",XLOOKUP(def_fac,FactionState[Faction],FactionState[Cunning]),"Wealth",XLOOKUP(def_fac,FactionState[Faction],FactionState[Wealth]),"Magic",XLOOKUP(def_fac,FactionState[Faction],FactionState[Magic]),0)),0),"")</f>
        <v/>
      </c>
      <c r="O24" s="22">
        <f>IF(H24&lt;&gt;"Attack","",IF(AND(ISNUMBER(L24),ISNUMBER(N24)),IF(L24&gt;N24,"Attacker","Defender"),""))</f>
        <v/>
      </c>
      <c r="P24" s="22">
        <f>IF(O24="Attacker",IFERROR(LET(nn,XLOOKUP(I24,Catalog[Name],Catalog[DmgN]),dd,XLOOKUP(I24,Catalog[Name],Catalog[DmgDie]),IF(dd=0,0,RANDBETWEEN(1,dd)+IF(nn&gt;=2,RANDBETWEEN(1,dd),0))),0),"")</f>
        <v/>
      </c>
      <c r="Q24" s="22">
        <f>IF(O24="Defender",IFERROR(LET(nn,XLOOKUP(J24,Catalog[Name],Catalog[CtrN]),dd,XLOOKUP(J24,Catalog[Name],Catalog[CtrDie]),IF(dd=0,0,RANDBETWEEN(1,dd)+IF(nn&gt;=2,RANDBETWEEN(1,dd),0))),0),"")</f>
        <v/>
      </c>
    </row>
    <row r="25">
      <c r="A25" s="20" t="n">
        <v>3</v>
      </c>
      <c r="B25" s="21" t="inlineStr">
        <is>
          <t>The Funginids</t>
        </is>
      </c>
      <c r="C25" s="22">
        <f>G16</f>
        <v/>
      </c>
      <c r="D25" s="22">
        <f>CEILING(XLOOKUP("The Funginids",FactionState[Faction],FactionState[Wealth])/2+XLOOKUP("The Funginids",FactionState[Faction],FactionState[Force])/4+XLOOKUP("The Funginids",FactionState[Faction],FactionState[Cunning])/4, 1)</f>
        <v/>
      </c>
      <c r="E25" s="22">
        <f>MAX(0,COUNTIFS(Register[Faction],"The Funginids",Register[Type],"Force")-XLOOKUP("The Funginids",FactionState[Faction],FactionState[Force]))+MAX(0,COUNTIFS(Register[Faction],"The Funginids",Register[Type],"Cunning")-XLOOKUP("The Funginids",FactionState[Faction],FactionState[Cunning]))+MAX(0,COUNTIFS(Register[Faction],"The Funginids",Register[Type],"Wealth")-XLOOKUP("The Funginids",FactionState[Faction],FactionState[Wealth]))+MAX(0,COUNTIFS(Register[Faction],"The Funginids",Register[Type],"Magic")-XLOOKUP("The Funginids",FactionState[Faction],FactionState[Magic]))</f>
        <v/>
      </c>
      <c r="F25" s="22">
        <f>IFERROR(VALUE('Action Sheet'!I24),0)</f>
        <v/>
      </c>
      <c r="G25" s="22">
        <f>C25+D25-E25-F25</f>
        <v/>
      </c>
      <c r="H25" s="22">
        <f>'Action Sheet'!D24</f>
        <v/>
      </c>
      <c r="I25" s="22">
        <f>'Action Sheet'!E24</f>
        <v/>
      </c>
      <c r="J25" s="22">
        <f>'Action Sheet'!H24</f>
        <v/>
      </c>
      <c r="K25" s="22">
        <f>IF(H25="Attack",RANDBETWEEN(1,10),"")</f>
        <v/>
      </c>
      <c r="L25" s="22">
        <f>IF(H25="Attack", K25+IFERROR(SWITCH(XLOOKUP(I25,Catalog[Name],Catalog[AtkAttr]),"Force",XLOOKUP("The Funginids",FactionState[Faction],FactionState[Force]),"Cunning",XLOOKUP("The Funginids",FactionState[Faction],FactionState[Cunning]),"Wealth",XLOOKUP("The Funginids",FactionState[Faction],FactionState[Wealth]),"Magic",XLOOKUP("The Funginids",FactionState[Faction],FactionState[Magic]),0),0),"")</f>
        <v/>
      </c>
      <c r="M25" s="22">
        <f>IF(H25="Attack",RANDBETWEEN(1,10),"")</f>
        <v/>
      </c>
      <c r="N25" s="22">
        <f>IF(H25="Attack", M25+IFERROR(LET(def_fac, XLOOKUP(J25,Register[Asset],Register[Faction]),def_attr, XLOOKUP(I25,Catalog[Name],Catalog[DefAttr]),SWITCH(def_attr,"Force",XLOOKUP(def_fac,FactionState[Faction],FactionState[Force]),"Cunning",XLOOKUP(def_fac,FactionState[Faction],FactionState[Cunning]),"Wealth",XLOOKUP(def_fac,FactionState[Faction],FactionState[Wealth]),"Magic",XLOOKUP(def_fac,FactionState[Faction],FactionState[Magic]),0)),0),"")</f>
        <v/>
      </c>
      <c r="O25" s="22">
        <f>IF(H25&lt;&gt;"Attack","",IF(AND(ISNUMBER(L25),ISNUMBER(N25)),IF(L25&gt;N25,"Attacker","Defender"),""))</f>
        <v/>
      </c>
      <c r="P25" s="22">
        <f>IF(O25="Attacker",IFERROR(LET(nn,XLOOKUP(I25,Catalog[Name],Catalog[DmgN]),dd,XLOOKUP(I25,Catalog[Name],Catalog[DmgDie]),IF(dd=0,0,RANDBETWEEN(1,dd)+IF(nn&gt;=2,RANDBETWEEN(1,dd),0))),0),"")</f>
        <v/>
      </c>
      <c r="Q25" s="22">
        <f>IF(O25="Defender",IFERROR(LET(nn,XLOOKUP(J25,Catalog[Name],Catalog[CtrN]),dd,XLOOKUP(J25,Catalog[Name],Catalog[CtrDie]),IF(dd=0,0,RANDBETWEEN(1,dd)+IF(nn&gt;=2,RANDBETWEEN(1,dd),0))),0),"")</f>
        <v/>
      </c>
    </row>
    <row r="26">
      <c r="A26" s="20" t="n">
        <v>3</v>
      </c>
      <c r="B26" s="21" t="inlineStr">
        <is>
          <t>The dErO</t>
        </is>
      </c>
      <c r="C26" s="22">
        <f>G17</f>
        <v/>
      </c>
      <c r="D26" s="22">
        <f>CEILING(XLOOKUP("The dErO",FactionState[Faction],FactionState[Wealth])/2+XLOOKUP("The dErO",FactionState[Faction],FactionState[Force])/4+XLOOKUP("The dErO",FactionState[Faction],FactionState[Cunning])/4, 1)</f>
        <v/>
      </c>
      <c r="E26" s="22">
        <f>MAX(0,COUNTIFS(Register[Faction],"The dErO",Register[Type],"Force")-XLOOKUP("The dErO",FactionState[Faction],FactionState[Force]))+MAX(0,COUNTIFS(Register[Faction],"The dErO",Register[Type],"Cunning")-XLOOKUP("The dErO",FactionState[Faction],FactionState[Cunning]))+MAX(0,COUNTIFS(Register[Faction],"The dErO",Register[Type],"Wealth")-XLOOKUP("The dErO",FactionState[Faction],FactionState[Wealth]))+MAX(0,COUNTIFS(Register[Faction],"The dErO",Register[Type],"Magic")-XLOOKUP("The dErO",FactionState[Faction],FactionState[Magic]))</f>
        <v/>
      </c>
      <c r="F26" s="22">
        <f>IFERROR(VALUE('Action Sheet'!I25),0)</f>
        <v/>
      </c>
      <c r="G26" s="22">
        <f>C26+D26-E26-F26</f>
        <v/>
      </c>
      <c r="H26" s="22">
        <f>'Action Sheet'!D25</f>
        <v/>
      </c>
      <c r="I26" s="22">
        <f>'Action Sheet'!E25</f>
        <v/>
      </c>
      <c r="J26" s="22">
        <f>'Action Sheet'!H25</f>
        <v/>
      </c>
      <c r="K26" s="22">
        <f>IF(H26="Attack",RANDBETWEEN(1,10),"")</f>
        <v/>
      </c>
      <c r="L26" s="22">
        <f>IF(H26="Attack", K26+IFERROR(SWITCH(XLOOKUP(I26,Catalog[Name],Catalog[AtkAttr]),"Force",XLOOKUP("The dErO",FactionState[Faction],FactionState[Force]),"Cunning",XLOOKUP("The dErO",FactionState[Faction],FactionState[Cunning]),"Wealth",XLOOKUP("The dErO",FactionState[Faction],FactionState[Wealth]),"Magic",XLOOKUP("The dErO",FactionState[Faction],FactionState[Magic]),0),0),"")</f>
        <v/>
      </c>
      <c r="M26" s="22">
        <f>IF(H26="Attack",RANDBETWEEN(1,10),"")</f>
        <v/>
      </c>
      <c r="N26" s="22">
        <f>IF(H26="Attack", M26+IFERROR(LET(def_fac, XLOOKUP(J26,Register[Asset],Register[Faction]),def_attr, XLOOKUP(I26,Catalog[Name],Catalog[DefAttr]),SWITCH(def_attr,"Force",XLOOKUP(def_fac,FactionState[Faction],FactionState[Force]),"Cunning",XLOOKUP(def_fac,FactionState[Faction],FactionState[Cunning]),"Wealth",XLOOKUP(def_fac,FactionState[Faction],FactionState[Wealth]),"Magic",XLOOKUP(def_fac,FactionState[Faction],FactionState[Magic]),0)),0),"")</f>
        <v/>
      </c>
      <c r="O26" s="22">
        <f>IF(H26&lt;&gt;"Attack","",IF(AND(ISNUMBER(L26),ISNUMBER(N26)),IF(L26&gt;N26,"Attacker","Defender"),""))</f>
        <v/>
      </c>
      <c r="P26" s="22">
        <f>IF(O26="Attacker",IFERROR(LET(nn,XLOOKUP(I26,Catalog[Name],Catalog[DmgN]),dd,XLOOKUP(I26,Catalog[Name],Catalog[DmgDie]),IF(dd=0,0,RANDBETWEEN(1,dd)+IF(nn&gt;=2,RANDBETWEEN(1,dd),0))),0),"")</f>
        <v/>
      </c>
      <c r="Q26" s="22">
        <f>IF(O26="Defender",IFERROR(LET(nn,XLOOKUP(J26,Catalog[Name],Catalog[CtrN]),dd,XLOOKUP(J26,Catalog[Name],Catalog[CtrDie]),IF(dd=0,0,RANDBETWEEN(1,dd)+IF(nn&gt;=2,RANDBETWEEN(1,dd),0))),0),"")</f>
        <v/>
      </c>
    </row>
    <row r="27">
      <c r="A27" s="20" t="n">
        <v>3</v>
      </c>
      <c r="B27" s="21" t="inlineStr">
        <is>
          <t>The Dvargir</t>
        </is>
      </c>
      <c r="C27" s="22">
        <f>G18</f>
        <v/>
      </c>
      <c r="D27" s="22">
        <f>CEILING(XLOOKUP("The Dvargir",FactionState[Faction],FactionState[Wealth])/2+XLOOKUP("The Dvargir",FactionState[Faction],FactionState[Force])/4+XLOOKUP("The Dvargir",FactionState[Faction],FactionState[Cunning])/4, 1)</f>
        <v/>
      </c>
      <c r="E27" s="22">
        <f>MAX(0,COUNTIFS(Register[Faction],"The Dvargir",Register[Type],"Force")-XLOOKUP("The Dvargir",FactionState[Faction],FactionState[Force]))+MAX(0,COUNTIFS(Register[Faction],"The Dvargir",Register[Type],"Cunning")-XLOOKUP("The Dvargir",FactionState[Faction],FactionState[Cunning]))+MAX(0,COUNTIFS(Register[Faction],"The Dvargir",Register[Type],"Wealth")-XLOOKUP("The Dvargir",FactionState[Faction],FactionState[Wealth]))+MAX(0,COUNTIFS(Register[Faction],"The Dvargir",Register[Type],"Magic")-XLOOKUP("The Dvargir",FactionState[Faction],FactionState[Magic]))</f>
        <v/>
      </c>
      <c r="F27" s="22">
        <f>IFERROR(VALUE('Action Sheet'!I26),0)</f>
        <v/>
      </c>
      <c r="G27" s="22">
        <f>C27+D27-E27-F27</f>
        <v/>
      </c>
      <c r="H27" s="22">
        <f>'Action Sheet'!D26</f>
        <v/>
      </c>
      <c r="I27" s="22">
        <f>'Action Sheet'!E26</f>
        <v/>
      </c>
      <c r="J27" s="22">
        <f>'Action Sheet'!H26</f>
        <v/>
      </c>
      <c r="K27" s="22">
        <f>IF(H27="Attack",RANDBETWEEN(1,10),"")</f>
        <v/>
      </c>
      <c r="L27" s="22">
        <f>IF(H27="Attack", K27+IFERROR(SWITCH(XLOOKUP(I27,Catalog[Name],Catalog[AtkAttr]),"Force",XLOOKUP("The Dvargir",FactionState[Faction],FactionState[Force]),"Cunning",XLOOKUP("The Dvargir",FactionState[Faction],FactionState[Cunning]),"Wealth",XLOOKUP("The Dvargir",FactionState[Faction],FactionState[Wealth]),"Magic",XLOOKUP("The Dvargir",FactionState[Faction],FactionState[Magic]),0),0),"")</f>
        <v/>
      </c>
      <c r="M27" s="22">
        <f>IF(H27="Attack",RANDBETWEEN(1,10),"")</f>
        <v/>
      </c>
      <c r="N27" s="22">
        <f>IF(H27="Attack", M27+IFERROR(LET(def_fac, XLOOKUP(J27,Register[Asset],Register[Faction]),def_attr, XLOOKUP(I27,Catalog[Name],Catalog[DefAttr]),SWITCH(def_attr,"Force",XLOOKUP(def_fac,FactionState[Faction],FactionState[Force]),"Cunning",XLOOKUP(def_fac,FactionState[Faction],FactionState[Cunning]),"Wealth",XLOOKUP(def_fac,FactionState[Faction],FactionState[Wealth]),"Magic",XLOOKUP(def_fac,FactionState[Faction],FactionState[Magic]),0)),0),"")</f>
        <v/>
      </c>
      <c r="O27" s="22">
        <f>IF(H27&lt;&gt;"Attack","",IF(AND(ISNUMBER(L27),ISNUMBER(N27)),IF(L27&gt;N27,"Attacker","Defender"),""))</f>
        <v/>
      </c>
      <c r="P27" s="22">
        <f>IF(O27="Attacker",IFERROR(LET(nn,XLOOKUP(I27,Catalog[Name],Catalog[DmgN]),dd,XLOOKUP(I27,Catalog[Name],Catalog[DmgDie]),IF(dd=0,0,RANDBETWEEN(1,dd)+IF(nn&gt;=2,RANDBETWEEN(1,dd),0))),0),"")</f>
        <v/>
      </c>
      <c r="Q27" s="22">
        <f>IF(O27="Defender",IFERROR(LET(nn,XLOOKUP(J27,Catalog[Name],Catalog[CtrN]),dd,XLOOKUP(J27,Catalog[Name],Catalog[CtrDie]),IF(dd=0,0,RANDBETWEEN(1,dd)+IF(nn&gt;=2,RANDBETWEEN(1,dd),0))),0),"")</f>
        <v/>
      </c>
    </row>
    <row r="28">
      <c r="A28" s="20" t="n">
        <v>3</v>
      </c>
      <c r="B28" s="21" t="inlineStr">
        <is>
          <t>The Gnonmen</t>
        </is>
      </c>
      <c r="C28" s="22">
        <f>G19</f>
        <v/>
      </c>
      <c r="D28" s="22">
        <f>CEILING(XLOOKUP("The Gnonmen",FactionState[Faction],FactionState[Wealth])/2+XLOOKUP("The Gnonmen",FactionState[Faction],FactionState[Force])/4+XLOOKUP("The Gnonmen",FactionState[Faction],FactionState[Cunning])/4, 1)</f>
        <v/>
      </c>
      <c r="E28" s="22">
        <f>MAX(0,COUNTIFS(Register[Faction],"The Gnonmen",Register[Type],"Force")-XLOOKUP("The Gnonmen",FactionState[Faction],FactionState[Force]))+MAX(0,COUNTIFS(Register[Faction],"The Gnonmen",Register[Type],"Cunning")-XLOOKUP("The Gnonmen",FactionState[Faction],FactionState[Cunning]))+MAX(0,COUNTIFS(Register[Faction],"The Gnonmen",Register[Type],"Wealth")-XLOOKUP("The Gnonmen",FactionState[Faction],FactionState[Wealth]))+MAX(0,COUNTIFS(Register[Faction],"The Gnonmen",Register[Type],"Magic")-XLOOKUP("The Gnonmen",FactionState[Faction],FactionState[Magic]))</f>
        <v/>
      </c>
      <c r="F28" s="22">
        <f>IFERROR(VALUE('Action Sheet'!I27),0)</f>
        <v/>
      </c>
      <c r="G28" s="22">
        <f>C28+D28-E28-F28</f>
        <v/>
      </c>
      <c r="H28" s="22">
        <f>'Action Sheet'!D27</f>
        <v/>
      </c>
      <c r="I28" s="22">
        <f>'Action Sheet'!E27</f>
        <v/>
      </c>
      <c r="J28" s="22">
        <f>'Action Sheet'!H27</f>
        <v/>
      </c>
      <c r="K28" s="22">
        <f>IF(H28="Attack",RANDBETWEEN(1,10),"")</f>
        <v/>
      </c>
      <c r="L28" s="22">
        <f>IF(H28="Attack", K28+IFERROR(SWITCH(XLOOKUP(I28,Catalog[Name],Catalog[AtkAttr]),"Force",XLOOKUP("The Gnonmen",FactionState[Faction],FactionState[Force]),"Cunning",XLOOKUP("The Gnonmen",FactionState[Faction],FactionState[Cunning]),"Wealth",XLOOKUP("The Gnonmen",FactionState[Faction],FactionState[Wealth]),"Magic",XLOOKUP("The Gnonmen",FactionState[Faction],FactionState[Magic]),0),0),"")</f>
        <v/>
      </c>
      <c r="M28" s="22">
        <f>IF(H28="Attack",RANDBETWEEN(1,10),"")</f>
        <v/>
      </c>
      <c r="N28" s="22">
        <f>IF(H28="Attack", M28+IFERROR(LET(def_fac, XLOOKUP(J28,Register[Asset],Register[Faction]),def_attr, XLOOKUP(I28,Catalog[Name],Catalog[DefAttr]),SWITCH(def_attr,"Force",XLOOKUP(def_fac,FactionState[Faction],FactionState[Force]),"Cunning",XLOOKUP(def_fac,FactionState[Faction],FactionState[Cunning]),"Wealth",XLOOKUP(def_fac,FactionState[Faction],FactionState[Wealth]),"Magic",XLOOKUP(def_fac,FactionState[Faction],FactionState[Magic]),0)),0),"")</f>
        <v/>
      </c>
      <c r="O28" s="22">
        <f>IF(H28&lt;&gt;"Attack","",IF(AND(ISNUMBER(L28),ISNUMBER(N28)),IF(L28&gt;N28,"Attacker","Defender"),""))</f>
        <v/>
      </c>
      <c r="P28" s="22">
        <f>IF(O28="Attacker",IFERROR(LET(nn,XLOOKUP(I28,Catalog[Name],Catalog[DmgN]),dd,XLOOKUP(I28,Catalog[Name],Catalog[DmgDie]),IF(dd=0,0,RANDBETWEEN(1,dd)+IF(nn&gt;=2,RANDBETWEEN(1,dd),0))),0),"")</f>
        <v/>
      </c>
      <c r="Q28" s="22">
        <f>IF(O28="Defender",IFERROR(LET(nn,XLOOKUP(J28,Catalog[Name],Catalog[CtrN]),dd,XLOOKUP(J28,Catalog[Name],Catalog[CtrDie]),IF(dd=0,0,RANDBETWEEN(1,dd)+IF(nn&gt;=2,RANDBETWEEN(1,dd),0))),0),"")</f>
        <v/>
      </c>
    </row>
    <row r="29">
      <c r="A29" s="20" t="n">
        <v>3</v>
      </c>
      <c r="B29" s="21" t="inlineStr">
        <is>
          <t>The Substratals</t>
        </is>
      </c>
      <c r="C29" s="22">
        <f>G20</f>
        <v/>
      </c>
      <c r="D29" s="22">
        <f>CEILING(XLOOKUP("The Substratals",FactionState[Faction],FactionState[Wealth])/2+XLOOKUP("The Substratals",FactionState[Faction],FactionState[Force])/4+XLOOKUP("The Substratals",FactionState[Faction],FactionState[Cunning])/4, 1)</f>
        <v/>
      </c>
      <c r="E29" s="22">
        <f>MAX(0,COUNTIFS(Register[Faction],"The Substratals",Register[Type],"Force")-XLOOKUP("The Substratals",FactionState[Faction],FactionState[Force]))+MAX(0,COUNTIFS(Register[Faction],"The Substratals",Register[Type],"Cunning")-XLOOKUP("The Substratals",FactionState[Faction],FactionState[Cunning]))+MAX(0,COUNTIFS(Register[Faction],"The Substratals",Register[Type],"Wealth")-XLOOKUP("The Substratals",FactionState[Faction],FactionState[Wealth]))+MAX(0,COUNTIFS(Register[Faction],"The Substratals",Register[Type],"Magic")-XLOOKUP("The Substratals",FactionState[Faction],FactionState[Magic]))</f>
        <v/>
      </c>
      <c r="F29" s="22">
        <f>IFERROR(VALUE('Action Sheet'!I28),0)</f>
        <v/>
      </c>
      <c r="G29" s="22">
        <f>C29+D29-E29-F29</f>
        <v/>
      </c>
      <c r="H29" s="22">
        <f>'Action Sheet'!D28</f>
        <v/>
      </c>
      <c r="I29" s="22">
        <f>'Action Sheet'!E28</f>
        <v/>
      </c>
      <c r="J29" s="22">
        <f>'Action Sheet'!H28</f>
        <v/>
      </c>
      <c r="K29" s="22">
        <f>IF(H29="Attack",RANDBETWEEN(1,10),"")</f>
        <v/>
      </c>
      <c r="L29" s="22">
        <f>IF(H29="Attack", K29+IFERROR(SWITCH(XLOOKUP(I29,Catalog[Name],Catalog[AtkAttr]),"Force",XLOOKUP("The Substratals",FactionState[Faction],FactionState[Force]),"Cunning",XLOOKUP("The Substratals",FactionState[Faction],FactionState[Cunning]),"Wealth",XLOOKUP("The Substratals",FactionState[Faction],FactionState[Wealth]),"Magic",XLOOKUP("The Substratals",FactionState[Faction],FactionState[Magic]),0),0),"")</f>
        <v/>
      </c>
      <c r="M29" s="22">
        <f>IF(H29="Attack",RANDBETWEEN(1,10),"")</f>
        <v/>
      </c>
      <c r="N29" s="22">
        <f>IF(H29="Attack", M29+IFERROR(LET(def_fac, XLOOKUP(J29,Register[Asset],Register[Faction]),def_attr, XLOOKUP(I29,Catalog[Name],Catalog[DefAttr]),SWITCH(def_attr,"Force",XLOOKUP(def_fac,FactionState[Faction],FactionState[Force]),"Cunning",XLOOKUP(def_fac,FactionState[Faction],FactionState[Cunning]),"Wealth",XLOOKUP(def_fac,FactionState[Faction],FactionState[Wealth]),"Magic",XLOOKUP(def_fac,FactionState[Faction],FactionState[Magic]),0)),0),"")</f>
        <v/>
      </c>
      <c r="O29" s="22">
        <f>IF(H29&lt;&gt;"Attack","",IF(AND(ISNUMBER(L29),ISNUMBER(N29)),IF(L29&gt;N29,"Attacker","Defender"),""))</f>
        <v/>
      </c>
      <c r="P29" s="22">
        <f>IF(O29="Attacker",IFERROR(LET(nn,XLOOKUP(I29,Catalog[Name],Catalog[DmgN]),dd,XLOOKUP(I29,Catalog[Name],Catalog[DmgDie]),IF(dd=0,0,RANDBETWEEN(1,dd)+IF(nn&gt;=2,RANDBETWEEN(1,dd),0))),0),"")</f>
        <v/>
      </c>
      <c r="Q29" s="22">
        <f>IF(O29="Defender",IFERROR(LET(nn,XLOOKUP(J29,Catalog[Name],Catalog[CtrN]),dd,XLOOKUP(J29,Catalog[Name],Catalog[CtrDie]),IF(dd=0,0,RANDBETWEEN(1,dd)+IF(nn&gt;=2,RANDBETWEEN(1,dd),0))),0),"")</f>
        <v/>
      </c>
    </row>
    <row r="30">
      <c r="A30" s="20" t="n">
        <v>3</v>
      </c>
      <c r="B30" s="21" t="inlineStr">
        <is>
          <t>The Deep Janeen</t>
        </is>
      </c>
      <c r="C30" s="22">
        <f>G21</f>
        <v/>
      </c>
      <c r="D30" s="22">
        <f>CEILING(XLOOKUP("The Deep Janeen",FactionState[Faction],FactionState[Wealth])/2+XLOOKUP("The Deep Janeen",FactionState[Faction],FactionState[Force])/4+XLOOKUP("The Deep Janeen",FactionState[Faction],FactionState[Cunning])/4, 1)</f>
        <v/>
      </c>
      <c r="E30" s="22">
        <f>MAX(0,COUNTIFS(Register[Faction],"The Deep Janeen",Register[Type],"Force")-XLOOKUP("The Deep Janeen",FactionState[Faction],FactionState[Force]))+MAX(0,COUNTIFS(Register[Faction],"The Deep Janeen",Register[Type],"Cunning")-XLOOKUP("The Deep Janeen",FactionState[Faction],FactionState[Cunning]))+MAX(0,COUNTIFS(Register[Faction],"The Deep Janeen",Register[Type],"Wealth")-XLOOKUP("The Deep Janeen",FactionState[Faction],FactionState[Wealth]))+MAX(0,COUNTIFS(Register[Faction],"The Deep Janeen",Register[Type],"Magic")-XLOOKUP("The Deep Janeen",FactionState[Faction],FactionState[Magic]))</f>
        <v/>
      </c>
      <c r="F30" s="22">
        <f>IFERROR(VALUE('Action Sheet'!I29),0)</f>
        <v/>
      </c>
      <c r="G30" s="22">
        <f>C30+D30-E30-F30</f>
        <v/>
      </c>
      <c r="H30" s="22">
        <f>'Action Sheet'!D29</f>
        <v/>
      </c>
      <c r="I30" s="22">
        <f>'Action Sheet'!E29</f>
        <v/>
      </c>
      <c r="J30" s="22">
        <f>'Action Sheet'!H29</f>
        <v/>
      </c>
      <c r="K30" s="22">
        <f>IF(H30="Attack",RANDBETWEEN(1,10),"")</f>
        <v/>
      </c>
      <c r="L30" s="22">
        <f>IF(H30="Attack", K30+IFERROR(SWITCH(XLOOKUP(I30,Catalog[Name],Catalog[AtkAttr]),"Force",XLOOKUP("The Deep Janeen",FactionState[Faction],FactionState[Force]),"Cunning",XLOOKUP("The Deep Janeen",FactionState[Faction],FactionState[Cunning]),"Wealth",XLOOKUP("The Deep Janeen",FactionState[Faction],FactionState[Wealth]),"Magic",XLOOKUP("The Deep Janeen",FactionState[Faction],FactionState[Magic]),0),0),"")</f>
        <v/>
      </c>
      <c r="M30" s="22">
        <f>IF(H30="Attack",RANDBETWEEN(1,10),"")</f>
        <v/>
      </c>
      <c r="N30" s="22">
        <f>IF(H30="Attack", M30+IFERROR(LET(def_fac, XLOOKUP(J30,Register[Asset],Register[Faction]),def_attr, XLOOKUP(I30,Catalog[Name],Catalog[DefAttr]),SWITCH(def_attr,"Force",XLOOKUP(def_fac,FactionState[Faction],FactionState[Force]),"Cunning",XLOOKUP(def_fac,FactionState[Faction],FactionState[Cunning]),"Wealth",XLOOKUP(def_fac,FactionState[Faction],FactionState[Wealth]),"Magic",XLOOKUP(def_fac,FactionState[Faction],FactionState[Magic]),0)),0),"")</f>
        <v/>
      </c>
      <c r="O30" s="22">
        <f>IF(H30&lt;&gt;"Attack","",IF(AND(ISNUMBER(L30),ISNUMBER(N30)),IF(L30&gt;N30,"Attacker","Defender"),""))</f>
        <v/>
      </c>
      <c r="P30" s="22">
        <f>IF(O30="Attacker",IFERROR(LET(nn,XLOOKUP(I30,Catalog[Name],Catalog[DmgN]),dd,XLOOKUP(I30,Catalog[Name],Catalog[DmgDie]),IF(dd=0,0,RANDBETWEEN(1,dd)+IF(nn&gt;=2,RANDBETWEEN(1,dd),0))),0),"")</f>
        <v/>
      </c>
      <c r="Q30" s="22">
        <f>IF(O30="Defender",IFERROR(LET(nn,XLOOKUP(J30,Catalog[Name],Catalog[CtrN]),dd,XLOOKUP(J30,Catalog[Name],Catalog[CtrDie]),IF(dd=0,0,RANDBETWEEN(1,dd)+IF(nn&gt;=2,RANDBETWEEN(1,dd),0))),0),"")</f>
        <v/>
      </c>
    </row>
    <row r="31">
      <c r="A31" s="20" t="n">
        <v>3</v>
      </c>
      <c r="B31" s="21" t="inlineStr">
        <is>
          <t>The Olm</t>
        </is>
      </c>
      <c r="C31" s="22">
        <f>G22</f>
        <v/>
      </c>
      <c r="D31" s="22">
        <f>CEILING(XLOOKUP("The Olm",FactionState[Faction],FactionState[Wealth])/2+XLOOKUP("The Olm",FactionState[Faction],FactionState[Force])/4+XLOOKUP("The Olm",FactionState[Faction],FactionState[Cunning])/4, 1)</f>
        <v/>
      </c>
      <c r="E31" s="22">
        <f>MAX(0,COUNTIFS(Register[Faction],"The Olm",Register[Type],"Force")-XLOOKUP("The Olm",FactionState[Faction],FactionState[Force]))+MAX(0,COUNTIFS(Register[Faction],"The Olm",Register[Type],"Cunning")-XLOOKUP("The Olm",FactionState[Faction],FactionState[Cunning]))+MAX(0,COUNTIFS(Register[Faction],"The Olm",Register[Type],"Wealth")-XLOOKUP("The Olm",FactionState[Faction],FactionState[Wealth]))+MAX(0,COUNTIFS(Register[Faction],"The Olm",Register[Type],"Magic")-XLOOKUP("The Olm",FactionState[Faction],FactionState[Magic]))</f>
        <v/>
      </c>
      <c r="F31" s="22">
        <f>IFERROR(VALUE('Action Sheet'!I30),0)</f>
        <v/>
      </c>
      <c r="G31" s="22">
        <f>C31+D31-E31-F31</f>
        <v/>
      </c>
      <c r="H31" s="22">
        <f>'Action Sheet'!D30</f>
        <v/>
      </c>
      <c r="I31" s="22">
        <f>'Action Sheet'!E30</f>
        <v/>
      </c>
      <c r="J31" s="22">
        <f>'Action Sheet'!H30</f>
        <v/>
      </c>
      <c r="K31" s="22">
        <f>IF(H31="Attack",RANDBETWEEN(1,10),"")</f>
        <v/>
      </c>
      <c r="L31" s="22">
        <f>IF(H31="Attack", K31+IFERROR(SWITCH(XLOOKUP(I31,Catalog[Name],Catalog[AtkAttr]),"Force",XLOOKUP("The Olm",FactionState[Faction],FactionState[Force]),"Cunning",XLOOKUP("The Olm",FactionState[Faction],FactionState[Cunning]),"Wealth",XLOOKUP("The Olm",FactionState[Faction],FactionState[Wealth]),"Magic",XLOOKUP("The Olm",FactionState[Faction],FactionState[Magic]),0),0),"")</f>
        <v/>
      </c>
      <c r="M31" s="22">
        <f>IF(H31="Attack",RANDBETWEEN(1,10),"")</f>
        <v/>
      </c>
      <c r="N31" s="22">
        <f>IF(H31="Attack", M31+IFERROR(LET(def_fac, XLOOKUP(J31,Register[Asset],Register[Faction]),def_attr, XLOOKUP(I31,Catalog[Name],Catalog[DefAttr]),SWITCH(def_attr,"Force",XLOOKUP(def_fac,FactionState[Faction],FactionState[Force]),"Cunning",XLOOKUP(def_fac,FactionState[Faction],FactionState[Cunning]),"Wealth",XLOOKUP(def_fac,FactionState[Faction],FactionState[Wealth]),"Magic",XLOOKUP(def_fac,FactionState[Faction],FactionState[Magic]),0)),0),"")</f>
        <v/>
      </c>
      <c r="O31" s="22">
        <f>IF(H31&lt;&gt;"Attack","",IF(AND(ISNUMBER(L31),ISNUMBER(N31)),IF(L31&gt;N31,"Attacker","Defender"),""))</f>
        <v/>
      </c>
      <c r="P31" s="22">
        <f>IF(O31="Attacker",IFERROR(LET(nn,XLOOKUP(I31,Catalog[Name],Catalog[DmgN]),dd,XLOOKUP(I31,Catalog[Name],Catalog[DmgDie]),IF(dd=0,0,RANDBETWEEN(1,dd)+IF(nn&gt;=2,RANDBETWEEN(1,dd),0))),0),"")</f>
        <v/>
      </c>
      <c r="Q31" s="22">
        <f>IF(O31="Defender",IFERROR(LET(nn,XLOOKUP(J31,Catalog[Name],Catalog[CtrN]),dd,XLOOKUP(J31,Catalog[Name],Catalog[CtrDie]),IF(dd=0,0,RANDBETWEEN(1,dd)+IF(nn&gt;=2,RANDBETWEEN(1,dd),0))),0),"")</f>
        <v/>
      </c>
    </row>
    <row r="32">
      <c r="A32" s="23" t="n">
        <v>4</v>
      </c>
      <c r="B32" s="24" t="inlineStr">
        <is>
          <t>The Knotsmen</t>
        </is>
      </c>
      <c r="C32" s="25">
        <f>G23</f>
        <v/>
      </c>
      <c r="D32" s="25">
        <f>CEILING(XLOOKUP("The Knotsmen",FactionState[Faction],FactionState[Wealth])/2+XLOOKUP("The Knotsmen",FactionState[Faction],FactionState[Force])/4+XLOOKUP("The Knotsmen",FactionState[Faction],FactionState[Cunning])/4, 1)</f>
        <v/>
      </c>
      <c r="E32" s="25">
        <f>MAX(0,COUNTIFS(Register[Faction],"The Knotsmen",Register[Type],"Force")-XLOOKUP("The Knotsmen",FactionState[Faction],FactionState[Force]))+MAX(0,COUNTIFS(Register[Faction],"The Knotsmen",Register[Type],"Cunning")-XLOOKUP("The Knotsmen",FactionState[Faction],FactionState[Cunning]))+MAX(0,COUNTIFS(Register[Faction],"The Knotsmen",Register[Type],"Wealth")-XLOOKUP("The Knotsmen",FactionState[Faction],FactionState[Wealth]))+MAX(0,COUNTIFS(Register[Faction],"The Knotsmen",Register[Type],"Magic")-XLOOKUP("The Knotsmen",FactionState[Faction],FactionState[Magic]))</f>
        <v/>
      </c>
      <c r="F32" s="25">
        <f>IFERROR(VALUE('Action Sheet'!I31),0)</f>
        <v/>
      </c>
      <c r="G32" s="25">
        <f>C32+D32-E32-F32</f>
        <v/>
      </c>
      <c r="H32" s="25">
        <f>'Action Sheet'!D31</f>
        <v/>
      </c>
      <c r="I32" s="25">
        <f>'Action Sheet'!E31</f>
        <v/>
      </c>
      <c r="J32" s="25">
        <f>'Action Sheet'!H31</f>
        <v/>
      </c>
      <c r="K32" s="25">
        <f>IF(H32="Attack",RANDBETWEEN(1,10),"")</f>
        <v/>
      </c>
      <c r="L32" s="25">
        <f>IF(H32="Attack", K32+IFERROR(SWITCH(XLOOKUP(I32,Catalog[Name],Catalog[AtkAttr]),"Force",XLOOKUP("The Knotsmen",FactionState[Faction],FactionState[Force]),"Cunning",XLOOKUP("The Knotsmen",FactionState[Faction],FactionState[Cunning]),"Wealth",XLOOKUP("The Knotsmen",FactionState[Faction],FactionState[Wealth]),"Magic",XLOOKUP("The Knotsmen",FactionState[Faction],FactionState[Magic]),0),0),"")</f>
        <v/>
      </c>
      <c r="M32" s="25">
        <f>IF(H32="Attack",RANDBETWEEN(1,10),"")</f>
        <v/>
      </c>
      <c r="N32" s="25">
        <f>IF(H32="Attack", M32+IFERROR(LET(def_fac, XLOOKUP(J32,Register[Asset],Register[Faction]),def_attr, XLOOKUP(I32,Catalog[Name],Catalog[DefAttr]),SWITCH(def_attr,"Force",XLOOKUP(def_fac,FactionState[Faction],FactionState[Force]),"Cunning",XLOOKUP(def_fac,FactionState[Faction],FactionState[Cunning]),"Wealth",XLOOKUP(def_fac,FactionState[Faction],FactionState[Wealth]),"Magic",XLOOKUP(def_fac,FactionState[Faction],FactionState[Magic]),0)),0),"")</f>
        <v/>
      </c>
      <c r="O32" s="25">
        <f>IF(H32&lt;&gt;"Attack","",IF(AND(ISNUMBER(L32),ISNUMBER(N32)),IF(L32&gt;N32,"Attacker","Defender"),""))</f>
        <v/>
      </c>
      <c r="P32" s="25">
        <f>IF(O32="Attacker",IFERROR(LET(nn,XLOOKUP(I32,Catalog[Name],Catalog[DmgN]),dd,XLOOKUP(I32,Catalog[Name],Catalog[DmgDie]),IF(dd=0,0,RANDBETWEEN(1,dd)+IF(nn&gt;=2,RANDBETWEEN(1,dd),0))),0),"")</f>
        <v/>
      </c>
      <c r="Q32" s="25">
        <f>IF(O32="Defender",IFERROR(LET(nn,XLOOKUP(J32,Catalog[Name],Catalog[CtrN]),dd,XLOOKUP(J32,Catalog[Name],Catalog[CtrDie]),IF(dd=0,0,RANDBETWEEN(1,dd)+IF(nn&gt;=2,RANDBETWEEN(1,dd),0))),0),"")</f>
        <v/>
      </c>
    </row>
    <row r="33">
      <c r="A33" s="23" t="n">
        <v>4</v>
      </c>
      <c r="B33" s="24" t="inlineStr">
        <is>
          <t>The Aelf-Adal</t>
        </is>
      </c>
      <c r="C33" s="25">
        <f>G24</f>
        <v/>
      </c>
      <c r="D33" s="25">
        <f>CEILING(XLOOKUP("The Aelf-Adal",FactionState[Faction],FactionState[Wealth])/2+XLOOKUP("The Aelf-Adal",FactionState[Faction],FactionState[Force])/4+XLOOKUP("The Aelf-Adal",FactionState[Faction],FactionState[Cunning])/4, 1)</f>
        <v/>
      </c>
      <c r="E33" s="25">
        <f>MAX(0,COUNTIFS(Register[Faction],"The Aelf-Adal",Register[Type],"Force")-XLOOKUP("The Aelf-Adal",FactionState[Faction],FactionState[Force]))+MAX(0,COUNTIFS(Register[Faction],"The Aelf-Adal",Register[Type],"Cunning")-XLOOKUP("The Aelf-Adal",FactionState[Faction],FactionState[Cunning]))+MAX(0,COUNTIFS(Register[Faction],"The Aelf-Adal",Register[Type],"Wealth")-XLOOKUP("The Aelf-Adal",FactionState[Faction],FactionState[Wealth]))+MAX(0,COUNTIFS(Register[Faction],"The Aelf-Adal",Register[Type],"Magic")-XLOOKUP("The Aelf-Adal",FactionState[Faction],FactionState[Magic]))</f>
        <v/>
      </c>
      <c r="F33" s="25">
        <f>IFERROR(VALUE('Action Sheet'!I32),0)</f>
        <v/>
      </c>
      <c r="G33" s="25">
        <f>C33+D33-E33-F33</f>
        <v/>
      </c>
      <c r="H33" s="25">
        <f>'Action Sheet'!D32</f>
        <v/>
      </c>
      <c r="I33" s="25">
        <f>'Action Sheet'!E32</f>
        <v/>
      </c>
      <c r="J33" s="25">
        <f>'Action Sheet'!H32</f>
        <v/>
      </c>
      <c r="K33" s="25">
        <f>IF(H33="Attack",RANDBETWEEN(1,10),"")</f>
        <v/>
      </c>
      <c r="L33" s="25">
        <f>IF(H33="Attack", K33+IFERROR(SWITCH(XLOOKUP(I33,Catalog[Name],Catalog[AtkAttr]),"Force",XLOOKUP("The Aelf-Adal",FactionState[Faction],FactionState[Force]),"Cunning",XLOOKUP("The Aelf-Adal",FactionState[Faction],FactionState[Cunning]),"Wealth",XLOOKUP("The Aelf-Adal",FactionState[Faction],FactionState[Wealth]),"Magic",XLOOKUP("The Aelf-Adal",FactionState[Faction],FactionState[Magic]),0),0),"")</f>
        <v/>
      </c>
      <c r="M33" s="25">
        <f>IF(H33="Attack",RANDBETWEEN(1,10),"")</f>
        <v/>
      </c>
      <c r="N33" s="25">
        <f>IF(H33="Attack", M33+IFERROR(LET(def_fac, XLOOKUP(J33,Register[Asset],Register[Faction]),def_attr, XLOOKUP(I33,Catalog[Name],Catalog[DefAttr]),SWITCH(def_attr,"Force",XLOOKUP(def_fac,FactionState[Faction],FactionState[Force]),"Cunning",XLOOKUP(def_fac,FactionState[Faction],FactionState[Cunning]),"Wealth",XLOOKUP(def_fac,FactionState[Faction],FactionState[Wealth]),"Magic",XLOOKUP(def_fac,FactionState[Faction],FactionState[Magic]),0)),0),"")</f>
        <v/>
      </c>
      <c r="O33" s="25">
        <f>IF(H33&lt;&gt;"Attack","",IF(AND(ISNUMBER(L33),ISNUMBER(N33)),IF(L33&gt;N33,"Attacker","Defender"),""))</f>
        <v/>
      </c>
      <c r="P33" s="25">
        <f>IF(O33="Attacker",IFERROR(LET(nn,XLOOKUP(I33,Catalog[Name],Catalog[DmgN]),dd,XLOOKUP(I33,Catalog[Name],Catalog[DmgDie]),IF(dd=0,0,RANDBETWEEN(1,dd)+IF(nn&gt;=2,RANDBETWEEN(1,dd),0))),0),"")</f>
        <v/>
      </c>
      <c r="Q33" s="25">
        <f>IF(O33="Defender",IFERROR(LET(nn,XLOOKUP(J33,Catalog[Name],Catalog[CtrN]),dd,XLOOKUP(J33,Catalog[Name],Catalog[CtrDie]),IF(dd=0,0,RANDBETWEEN(1,dd)+IF(nn&gt;=2,RANDBETWEEN(1,dd),0))),0),"")</f>
        <v/>
      </c>
    </row>
    <row r="34">
      <c r="A34" s="23" t="n">
        <v>4</v>
      </c>
      <c r="B34" s="24" t="inlineStr">
        <is>
          <t>The Funginids</t>
        </is>
      </c>
      <c r="C34" s="25">
        <f>G25</f>
        <v/>
      </c>
      <c r="D34" s="25">
        <f>CEILING(XLOOKUP("The Funginids",FactionState[Faction],FactionState[Wealth])/2+XLOOKUP("The Funginids",FactionState[Faction],FactionState[Force])/4+XLOOKUP("The Funginids",FactionState[Faction],FactionState[Cunning])/4, 1)</f>
        <v/>
      </c>
      <c r="E34" s="25">
        <f>MAX(0,COUNTIFS(Register[Faction],"The Funginids",Register[Type],"Force")-XLOOKUP("The Funginids",FactionState[Faction],FactionState[Force]))+MAX(0,COUNTIFS(Register[Faction],"The Funginids",Register[Type],"Cunning")-XLOOKUP("The Funginids",FactionState[Faction],FactionState[Cunning]))+MAX(0,COUNTIFS(Register[Faction],"The Funginids",Register[Type],"Wealth")-XLOOKUP("The Funginids",FactionState[Faction],FactionState[Wealth]))+MAX(0,COUNTIFS(Register[Faction],"The Funginids",Register[Type],"Magic")-XLOOKUP("The Funginids",FactionState[Faction],FactionState[Magic]))</f>
        <v/>
      </c>
      <c r="F34" s="25">
        <f>IFERROR(VALUE('Action Sheet'!I33),0)</f>
        <v/>
      </c>
      <c r="G34" s="25">
        <f>C34+D34-E34-F34</f>
        <v/>
      </c>
      <c r="H34" s="25">
        <f>'Action Sheet'!D33</f>
        <v/>
      </c>
      <c r="I34" s="25">
        <f>'Action Sheet'!E33</f>
        <v/>
      </c>
      <c r="J34" s="25">
        <f>'Action Sheet'!H33</f>
        <v/>
      </c>
      <c r="K34" s="25">
        <f>IF(H34="Attack",RANDBETWEEN(1,10),"")</f>
        <v/>
      </c>
      <c r="L34" s="25">
        <f>IF(H34="Attack", K34+IFERROR(SWITCH(XLOOKUP(I34,Catalog[Name],Catalog[AtkAttr]),"Force",XLOOKUP("The Funginids",FactionState[Faction],FactionState[Force]),"Cunning",XLOOKUP("The Funginids",FactionState[Faction],FactionState[Cunning]),"Wealth",XLOOKUP("The Funginids",FactionState[Faction],FactionState[Wealth]),"Magic",XLOOKUP("The Funginids",FactionState[Faction],FactionState[Magic]),0),0),"")</f>
        <v/>
      </c>
      <c r="M34" s="25">
        <f>IF(H34="Attack",RANDBETWEEN(1,10),"")</f>
        <v/>
      </c>
      <c r="N34" s="25">
        <f>IF(H34="Attack", M34+IFERROR(LET(def_fac, XLOOKUP(J34,Register[Asset],Register[Faction]),def_attr, XLOOKUP(I34,Catalog[Name],Catalog[DefAttr]),SWITCH(def_attr,"Force",XLOOKUP(def_fac,FactionState[Faction],FactionState[Force]),"Cunning",XLOOKUP(def_fac,FactionState[Faction],FactionState[Cunning]),"Wealth",XLOOKUP(def_fac,FactionState[Faction],FactionState[Wealth]),"Magic",XLOOKUP(def_fac,FactionState[Faction],FactionState[Magic]),0)),0),"")</f>
        <v/>
      </c>
      <c r="O34" s="25">
        <f>IF(H34&lt;&gt;"Attack","",IF(AND(ISNUMBER(L34),ISNUMBER(N34)),IF(L34&gt;N34,"Attacker","Defender"),""))</f>
        <v/>
      </c>
      <c r="P34" s="25">
        <f>IF(O34="Attacker",IFERROR(LET(nn,XLOOKUP(I34,Catalog[Name],Catalog[DmgN]),dd,XLOOKUP(I34,Catalog[Name],Catalog[DmgDie]),IF(dd=0,0,RANDBETWEEN(1,dd)+IF(nn&gt;=2,RANDBETWEEN(1,dd),0))),0),"")</f>
        <v/>
      </c>
      <c r="Q34" s="25">
        <f>IF(O34="Defender",IFERROR(LET(nn,XLOOKUP(J34,Catalog[Name],Catalog[CtrN]),dd,XLOOKUP(J34,Catalog[Name],Catalog[CtrDie]),IF(dd=0,0,RANDBETWEEN(1,dd)+IF(nn&gt;=2,RANDBETWEEN(1,dd),0))),0),"")</f>
        <v/>
      </c>
    </row>
    <row r="35">
      <c r="A35" s="23" t="n">
        <v>4</v>
      </c>
      <c r="B35" s="24" t="inlineStr">
        <is>
          <t>The dErO</t>
        </is>
      </c>
      <c r="C35" s="25">
        <f>G26</f>
        <v/>
      </c>
      <c r="D35" s="25">
        <f>CEILING(XLOOKUP("The dErO",FactionState[Faction],FactionState[Wealth])/2+XLOOKUP("The dErO",FactionState[Faction],FactionState[Force])/4+XLOOKUP("The dErO",FactionState[Faction],FactionState[Cunning])/4, 1)</f>
        <v/>
      </c>
      <c r="E35" s="25">
        <f>MAX(0,COUNTIFS(Register[Faction],"The dErO",Register[Type],"Force")-XLOOKUP("The dErO",FactionState[Faction],FactionState[Force]))+MAX(0,COUNTIFS(Register[Faction],"The dErO",Register[Type],"Cunning")-XLOOKUP("The dErO",FactionState[Faction],FactionState[Cunning]))+MAX(0,COUNTIFS(Register[Faction],"The dErO",Register[Type],"Wealth")-XLOOKUP("The dErO",FactionState[Faction],FactionState[Wealth]))+MAX(0,COUNTIFS(Register[Faction],"The dErO",Register[Type],"Magic")-XLOOKUP("The dErO",FactionState[Faction],FactionState[Magic]))</f>
        <v/>
      </c>
      <c r="F35" s="25">
        <f>IFERROR(VALUE('Action Sheet'!I34),0)</f>
        <v/>
      </c>
      <c r="G35" s="25">
        <f>C35+D35-E35-F35</f>
        <v/>
      </c>
      <c r="H35" s="25">
        <f>'Action Sheet'!D34</f>
        <v/>
      </c>
      <c r="I35" s="25">
        <f>'Action Sheet'!E34</f>
        <v/>
      </c>
      <c r="J35" s="25">
        <f>'Action Sheet'!H34</f>
        <v/>
      </c>
      <c r="K35" s="25">
        <f>IF(H35="Attack",RANDBETWEEN(1,10),"")</f>
        <v/>
      </c>
      <c r="L35" s="25">
        <f>IF(H35="Attack", K35+IFERROR(SWITCH(XLOOKUP(I35,Catalog[Name],Catalog[AtkAttr]),"Force",XLOOKUP("The dErO",FactionState[Faction],FactionState[Force]),"Cunning",XLOOKUP("The dErO",FactionState[Faction],FactionState[Cunning]),"Wealth",XLOOKUP("The dErO",FactionState[Faction],FactionState[Wealth]),"Magic",XLOOKUP("The dErO",FactionState[Faction],FactionState[Magic]),0),0),"")</f>
        <v/>
      </c>
      <c r="M35" s="25">
        <f>IF(H35="Attack",RANDBETWEEN(1,10),"")</f>
        <v/>
      </c>
      <c r="N35" s="25">
        <f>IF(H35="Attack", M35+IFERROR(LET(def_fac, XLOOKUP(J35,Register[Asset],Register[Faction]),def_attr, XLOOKUP(I35,Catalog[Name],Catalog[DefAttr]),SWITCH(def_attr,"Force",XLOOKUP(def_fac,FactionState[Faction],FactionState[Force]),"Cunning",XLOOKUP(def_fac,FactionState[Faction],FactionState[Cunning]),"Wealth",XLOOKUP(def_fac,FactionState[Faction],FactionState[Wealth]),"Magic",XLOOKUP(def_fac,FactionState[Faction],FactionState[Magic]),0)),0),"")</f>
        <v/>
      </c>
      <c r="O35" s="25">
        <f>IF(H35&lt;&gt;"Attack","",IF(AND(ISNUMBER(L35),ISNUMBER(N35)),IF(L35&gt;N35,"Attacker","Defender"),""))</f>
        <v/>
      </c>
      <c r="P35" s="25">
        <f>IF(O35="Attacker",IFERROR(LET(nn,XLOOKUP(I35,Catalog[Name],Catalog[DmgN]),dd,XLOOKUP(I35,Catalog[Name],Catalog[DmgDie]),IF(dd=0,0,RANDBETWEEN(1,dd)+IF(nn&gt;=2,RANDBETWEEN(1,dd),0))),0),"")</f>
        <v/>
      </c>
      <c r="Q35" s="25">
        <f>IF(O35="Defender",IFERROR(LET(nn,XLOOKUP(J35,Catalog[Name],Catalog[CtrN]),dd,XLOOKUP(J35,Catalog[Name],Catalog[CtrDie]),IF(dd=0,0,RANDBETWEEN(1,dd)+IF(nn&gt;=2,RANDBETWEEN(1,dd),0))),0),"")</f>
        <v/>
      </c>
    </row>
    <row r="36">
      <c r="A36" s="23" t="n">
        <v>4</v>
      </c>
      <c r="B36" s="24" t="inlineStr">
        <is>
          <t>The Dvargir</t>
        </is>
      </c>
      <c r="C36" s="25">
        <f>G27</f>
        <v/>
      </c>
      <c r="D36" s="25">
        <f>CEILING(XLOOKUP("The Dvargir",FactionState[Faction],FactionState[Wealth])/2+XLOOKUP("The Dvargir",FactionState[Faction],FactionState[Force])/4+XLOOKUP("The Dvargir",FactionState[Faction],FactionState[Cunning])/4, 1)</f>
        <v/>
      </c>
      <c r="E36" s="25">
        <f>MAX(0,COUNTIFS(Register[Faction],"The Dvargir",Register[Type],"Force")-XLOOKUP("The Dvargir",FactionState[Faction],FactionState[Force]))+MAX(0,COUNTIFS(Register[Faction],"The Dvargir",Register[Type],"Cunning")-XLOOKUP("The Dvargir",FactionState[Faction],FactionState[Cunning]))+MAX(0,COUNTIFS(Register[Faction],"The Dvargir",Register[Type],"Wealth")-XLOOKUP("The Dvargir",FactionState[Faction],FactionState[Wealth]))+MAX(0,COUNTIFS(Register[Faction],"The Dvargir",Register[Type],"Magic")-XLOOKUP("The Dvargir",FactionState[Faction],FactionState[Magic]))</f>
        <v/>
      </c>
      <c r="F36" s="25">
        <f>IFERROR(VALUE('Action Sheet'!I35),0)</f>
        <v/>
      </c>
      <c r="G36" s="25">
        <f>C36+D36-E36-F36</f>
        <v/>
      </c>
      <c r="H36" s="25">
        <f>'Action Sheet'!D35</f>
        <v/>
      </c>
      <c r="I36" s="25">
        <f>'Action Sheet'!E35</f>
        <v/>
      </c>
      <c r="J36" s="25">
        <f>'Action Sheet'!H35</f>
        <v/>
      </c>
      <c r="K36" s="25">
        <f>IF(H36="Attack",RANDBETWEEN(1,10),"")</f>
        <v/>
      </c>
      <c r="L36" s="25">
        <f>IF(H36="Attack", K36+IFERROR(SWITCH(XLOOKUP(I36,Catalog[Name],Catalog[AtkAttr]),"Force",XLOOKUP("The Dvargir",FactionState[Faction],FactionState[Force]),"Cunning",XLOOKUP("The Dvargir",FactionState[Faction],FactionState[Cunning]),"Wealth",XLOOKUP("The Dvargir",FactionState[Faction],FactionState[Wealth]),"Magic",XLOOKUP("The Dvargir",FactionState[Faction],FactionState[Magic]),0),0),"")</f>
        <v/>
      </c>
      <c r="M36" s="25">
        <f>IF(H36="Attack",RANDBETWEEN(1,10),"")</f>
        <v/>
      </c>
      <c r="N36" s="25">
        <f>IF(H36="Attack", M36+IFERROR(LET(def_fac, XLOOKUP(J36,Register[Asset],Register[Faction]),def_attr, XLOOKUP(I36,Catalog[Name],Catalog[DefAttr]),SWITCH(def_attr,"Force",XLOOKUP(def_fac,FactionState[Faction],FactionState[Force]),"Cunning",XLOOKUP(def_fac,FactionState[Faction],FactionState[Cunning]),"Wealth",XLOOKUP(def_fac,FactionState[Faction],FactionState[Wealth]),"Magic",XLOOKUP(def_fac,FactionState[Faction],FactionState[Magic]),0)),0),"")</f>
        <v/>
      </c>
      <c r="O36" s="25">
        <f>IF(H36&lt;&gt;"Attack","",IF(AND(ISNUMBER(L36),ISNUMBER(N36)),IF(L36&gt;N36,"Attacker","Defender"),""))</f>
        <v/>
      </c>
      <c r="P36" s="25">
        <f>IF(O36="Attacker",IFERROR(LET(nn,XLOOKUP(I36,Catalog[Name],Catalog[DmgN]),dd,XLOOKUP(I36,Catalog[Name],Catalog[DmgDie]),IF(dd=0,0,RANDBETWEEN(1,dd)+IF(nn&gt;=2,RANDBETWEEN(1,dd),0))),0),"")</f>
        <v/>
      </c>
      <c r="Q36" s="25">
        <f>IF(O36="Defender",IFERROR(LET(nn,XLOOKUP(J36,Catalog[Name],Catalog[CtrN]),dd,XLOOKUP(J36,Catalog[Name],Catalog[CtrDie]),IF(dd=0,0,RANDBETWEEN(1,dd)+IF(nn&gt;=2,RANDBETWEEN(1,dd),0))),0),"")</f>
        <v/>
      </c>
    </row>
    <row r="37">
      <c r="A37" s="23" t="n">
        <v>4</v>
      </c>
      <c r="B37" s="24" t="inlineStr">
        <is>
          <t>The Gnonmen</t>
        </is>
      </c>
      <c r="C37" s="25">
        <f>G28</f>
        <v/>
      </c>
      <c r="D37" s="25">
        <f>CEILING(XLOOKUP("The Gnonmen",FactionState[Faction],FactionState[Wealth])/2+XLOOKUP("The Gnonmen",FactionState[Faction],FactionState[Force])/4+XLOOKUP("The Gnonmen",FactionState[Faction],FactionState[Cunning])/4, 1)</f>
        <v/>
      </c>
      <c r="E37" s="25">
        <f>MAX(0,COUNTIFS(Register[Faction],"The Gnonmen",Register[Type],"Force")-XLOOKUP("The Gnonmen",FactionState[Faction],FactionState[Force]))+MAX(0,COUNTIFS(Register[Faction],"The Gnonmen",Register[Type],"Cunning")-XLOOKUP("The Gnonmen",FactionState[Faction],FactionState[Cunning]))+MAX(0,COUNTIFS(Register[Faction],"The Gnonmen",Register[Type],"Wealth")-XLOOKUP("The Gnonmen",FactionState[Faction],FactionState[Wealth]))+MAX(0,COUNTIFS(Register[Faction],"The Gnonmen",Register[Type],"Magic")-XLOOKUP("The Gnonmen",FactionState[Faction],FactionState[Magic]))</f>
        <v/>
      </c>
      <c r="F37" s="25">
        <f>IFERROR(VALUE('Action Sheet'!I36),0)</f>
        <v/>
      </c>
      <c r="G37" s="25">
        <f>C37+D37-E37-F37</f>
        <v/>
      </c>
      <c r="H37" s="25">
        <f>'Action Sheet'!D36</f>
        <v/>
      </c>
      <c r="I37" s="25">
        <f>'Action Sheet'!E36</f>
        <v/>
      </c>
      <c r="J37" s="25">
        <f>'Action Sheet'!H36</f>
        <v/>
      </c>
      <c r="K37" s="25">
        <f>IF(H37="Attack",RANDBETWEEN(1,10),"")</f>
        <v/>
      </c>
      <c r="L37" s="25">
        <f>IF(H37="Attack", K37+IFERROR(SWITCH(XLOOKUP(I37,Catalog[Name],Catalog[AtkAttr]),"Force",XLOOKUP("The Gnonmen",FactionState[Faction],FactionState[Force]),"Cunning",XLOOKUP("The Gnonmen",FactionState[Faction],FactionState[Cunning]),"Wealth",XLOOKUP("The Gnonmen",FactionState[Faction],FactionState[Wealth]),"Magic",XLOOKUP("The Gnonmen",FactionState[Faction],FactionState[Magic]),0),0),"")</f>
        <v/>
      </c>
      <c r="M37" s="25">
        <f>IF(H37="Attack",RANDBETWEEN(1,10),"")</f>
        <v/>
      </c>
      <c r="N37" s="25">
        <f>IF(H37="Attack", M37+IFERROR(LET(def_fac, XLOOKUP(J37,Register[Asset],Register[Faction]),def_attr, XLOOKUP(I37,Catalog[Name],Catalog[DefAttr]),SWITCH(def_attr,"Force",XLOOKUP(def_fac,FactionState[Faction],FactionState[Force]),"Cunning",XLOOKUP(def_fac,FactionState[Faction],FactionState[Cunning]),"Wealth",XLOOKUP(def_fac,FactionState[Faction],FactionState[Wealth]),"Magic",XLOOKUP(def_fac,FactionState[Faction],FactionState[Magic]),0)),0),"")</f>
        <v/>
      </c>
      <c r="O37" s="25">
        <f>IF(H37&lt;&gt;"Attack","",IF(AND(ISNUMBER(L37),ISNUMBER(N37)),IF(L37&gt;N37,"Attacker","Defender"),""))</f>
        <v/>
      </c>
      <c r="P37" s="25">
        <f>IF(O37="Attacker",IFERROR(LET(nn,XLOOKUP(I37,Catalog[Name],Catalog[DmgN]),dd,XLOOKUP(I37,Catalog[Name],Catalog[DmgDie]),IF(dd=0,0,RANDBETWEEN(1,dd)+IF(nn&gt;=2,RANDBETWEEN(1,dd),0))),0),"")</f>
        <v/>
      </c>
      <c r="Q37" s="25">
        <f>IF(O37="Defender",IFERROR(LET(nn,XLOOKUP(J37,Catalog[Name],Catalog[CtrN]),dd,XLOOKUP(J37,Catalog[Name],Catalog[CtrDie]),IF(dd=0,0,RANDBETWEEN(1,dd)+IF(nn&gt;=2,RANDBETWEEN(1,dd),0))),0),"")</f>
        <v/>
      </c>
    </row>
    <row r="38">
      <c r="A38" s="23" t="n">
        <v>4</v>
      </c>
      <c r="B38" s="24" t="inlineStr">
        <is>
          <t>The Substratals</t>
        </is>
      </c>
      <c r="C38" s="25">
        <f>G29</f>
        <v/>
      </c>
      <c r="D38" s="25">
        <f>CEILING(XLOOKUP("The Substratals",FactionState[Faction],FactionState[Wealth])/2+XLOOKUP("The Substratals",FactionState[Faction],FactionState[Force])/4+XLOOKUP("The Substratals",FactionState[Faction],FactionState[Cunning])/4, 1)</f>
        <v/>
      </c>
      <c r="E38" s="25">
        <f>MAX(0,COUNTIFS(Register[Faction],"The Substratals",Register[Type],"Force")-XLOOKUP("The Substratals",FactionState[Faction],FactionState[Force]))+MAX(0,COUNTIFS(Register[Faction],"The Substratals",Register[Type],"Cunning")-XLOOKUP("The Substratals",FactionState[Faction],FactionState[Cunning]))+MAX(0,COUNTIFS(Register[Faction],"The Substratals",Register[Type],"Wealth")-XLOOKUP("The Substratals",FactionState[Faction],FactionState[Wealth]))+MAX(0,COUNTIFS(Register[Faction],"The Substratals",Register[Type],"Magic")-XLOOKUP("The Substratals",FactionState[Faction],FactionState[Magic]))</f>
        <v/>
      </c>
      <c r="F38" s="25">
        <f>IFERROR(VALUE('Action Sheet'!I37),0)</f>
        <v/>
      </c>
      <c r="G38" s="25">
        <f>C38+D38-E38-F38</f>
        <v/>
      </c>
      <c r="H38" s="25">
        <f>'Action Sheet'!D37</f>
        <v/>
      </c>
      <c r="I38" s="25">
        <f>'Action Sheet'!E37</f>
        <v/>
      </c>
      <c r="J38" s="25">
        <f>'Action Sheet'!H37</f>
        <v/>
      </c>
      <c r="K38" s="25">
        <f>IF(H38="Attack",RANDBETWEEN(1,10),"")</f>
        <v/>
      </c>
      <c r="L38" s="25">
        <f>IF(H38="Attack", K38+IFERROR(SWITCH(XLOOKUP(I38,Catalog[Name],Catalog[AtkAttr]),"Force",XLOOKUP("The Substratals",FactionState[Faction],FactionState[Force]),"Cunning",XLOOKUP("The Substratals",FactionState[Faction],FactionState[Cunning]),"Wealth",XLOOKUP("The Substratals",FactionState[Faction],FactionState[Wealth]),"Magic",XLOOKUP("The Substratals",FactionState[Faction],FactionState[Magic]),0),0),"")</f>
        <v/>
      </c>
      <c r="M38" s="25">
        <f>IF(H38="Attack",RANDBETWEEN(1,10),"")</f>
        <v/>
      </c>
      <c r="N38" s="25">
        <f>IF(H38="Attack", M38+IFERROR(LET(def_fac, XLOOKUP(J38,Register[Asset],Register[Faction]),def_attr, XLOOKUP(I38,Catalog[Name],Catalog[DefAttr]),SWITCH(def_attr,"Force",XLOOKUP(def_fac,FactionState[Faction],FactionState[Force]),"Cunning",XLOOKUP(def_fac,FactionState[Faction],FactionState[Cunning]),"Wealth",XLOOKUP(def_fac,FactionState[Faction],FactionState[Wealth]),"Magic",XLOOKUP(def_fac,FactionState[Faction],FactionState[Magic]),0)),0),"")</f>
        <v/>
      </c>
      <c r="O38" s="25">
        <f>IF(H38&lt;&gt;"Attack","",IF(AND(ISNUMBER(L38),ISNUMBER(N38)),IF(L38&gt;N38,"Attacker","Defender"),""))</f>
        <v/>
      </c>
      <c r="P38" s="25">
        <f>IF(O38="Attacker",IFERROR(LET(nn,XLOOKUP(I38,Catalog[Name],Catalog[DmgN]),dd,XLOOKUP(I38,Catalog[Name],Catalog[DmgDie]),IF(dd=0,0,RANDBETWEEN(1,dd)+IF(nn&gt;=2,RANDBETWEEN(1,dd),0))),0),"")</f>
        <v/>
      </c>
      <c r="Q38" s="25">
        <f>IF(O38="Defender",IFERROR(LET(nn,XLOOKUP(J38,Catalog[Name],Catalog[CtrN]),dd,XLOOKUP(J38,Catalog[Name],Catalog[CtrDie]),IF(dd=0,0,RANDBETWEEN(1,dd)+IF(nn&gt;=2,RANDBETWEEN(1,dd),0))),0),"")</f>
        <v/>
      </c>
    </row>
    <row r="39">
      <c r="A39" s="23" t="n">
        <v>4</v>
      </c>
      <c r="B39" s="24" t="inlineStr">
        <is>
          <t>The Deep Janeen</t>
        </is>
      </c>
      <c r="C39" s="25">
        <f>G30</f>
        <v/>
      </c>
      <c r="D39" s="25">
        <f>CEILING(XLOOKUP("The Deep Janeen",FactionState[Faction],FactionState[Wealth])/2+XLOOKUP("The Deep Janeen",FactionState[Faction],FactionState[Force])/4+XLOOKUP("The Deep Janeen",FactionState[Faction],FactionState[Cunning])/4, 1)</f>
        <v/>
      </c>
      <c r="E39" s="25">
        <f>MAX(0,COUNTIFS(Register[Faction],"The Deep Janeen",Register[Type],"Force")-XLOOKUP("The Deep Janeen",FactionState[Faction],FactionState[Force]))+MAX(0,COUNTIFS(Register[Faction],"The Deep Janeen",Register[Type],"Cunning")-XLOOKUP("The Deep Janeen",FactionState[Faction],FactionState[Cunning]))+MAX(0,COUNTIFS(Register[Faction],"The Deep Janeen",Register[Type],"Wealth")-XLOOKUP("The Deep Janeen",FactionState[Faction],FactionState[Wealth]))+MAX(0,COUNTIFS(Register[Faction],"The Deep Janeen",Register[Type],"Magic")-XLOOKUP("The Deep Janeen",FactionState[Faction],FactionState[Magic]))</f>
        <v/>
      </c>
      <c r="F39" s="25">
        <f>IFERROR(VALUE('Action Sheet'!I38),0)</f>
        <v/>
      </c>
      <c r="G39" s="25">
        <f>C39+D39-E39-F39</f>
        <v/>
      </c>
      <c r="H39" s="25">
        <f>'Action Sheet'!D38</f>
        <v/>
      </c>
      <c r="I39" s="25">
        <f>'Action Sheet'!E38</f>
        <v/>
      </c>
      <c r="J39" s="25">
        <f>'Action Sheet'!H38</f>
        <v/>
      </c>
      <c r="K39" s="25">
        <f>IF(H39="Attack",RANDBETWEEN(1,10),"")</f>
        <v/>
      </c>
      <c r="L39" s="25">
        <f>IF(H39="Attack", K39+IFERROR(SWITCH(XLOOKUP(I39,Catalog[Name],Catalog[AtkAttr]),"Force",XLOOKUP("The Deep Janeen",FactionState[Faction],FactionState[Force]),"Cunning",XLOOKUP("The Deep Janeen",FactionState[Faction],FactionState[Cunning]),"Wealth",XLOOKUP("The Deep Janeen",FactionState[Faction],FactionState[Wealth]),"Magic",XLOOKUP("The Deep Janeen",FactionState[Faction],FactionState[Magic]),0),0),"")</f>
        <v/>
      </c>
      <c r="M39" s="25">
        <f>IF(H39="Attack",RANDBETWEEN(1,10),"")</f>
        <v/>
      </c>
      <c r="N39" s="25">
        <f>IF(H39="Attack", M39+IFERROR(LET(def_fac, XLOOKUP(J39,Register[Asset],Register[Faction]),def_attr, XLOOKUP(I39,Catalog[Name],Catalog[DefAttr]),SWITCH(def_attr,"Force",XLOOKUP(def_fac,FactionState[Faction],FactionState[Force]),"Cunning",XLOOKUP(def_fac,FactionState[Faction],FactionState[Cunning]),"Wealth",XLOOKUP(def_fac,FactionState[Faction],FactionState[Wealth]),"Magic",XLOOKUP(def_fac,FactionState[Faction],FactionState[Magic]),0)),0),"")</f>
        <v/>
      </c>
      <c r="O39" s="25">
        <f>IF(H39&lt;&gt;"Attack","",IF(AND(ISNUMBER(L39),ISNUMBER(N39)),IF(L39&gt;N39,"Attacker","Defender"),""))</f>
        <v/>
      </c>
      <c r="P39" s="25">
        <f>IF(O39="Attacker",IFERROR(LET(nn,XLOOKUP(I39,Catalog[Name],Catalog[DmgN]),dd,XLOOKUP(I39,Catalog[Name],Catalog[DmgDie]),IF(dd=0,0,RANDBETWEEN(1,dd)+IF(nn&gt;=2,RANDBETWEEN(1,dd),0))),0),"")</f>
        <v/>
      </c>
      <c r="Q39" s="25">
        <f>IF(O39="Defender",IFERROR(LET(nn,XLOOKUP(J39,Catalog[Name],Catalog[CtrN]),dd,XLOOKUP(J39,Catalog[Name],Catalog[CtrDie]),IF(dd=0,0,RANDBETWEEN(1,dd)+IF(nn&gt;=2,RANDBETWEEN(1,dd),0))),0),"")</f>
        <v/>
      </c>
    </row>
    <row r="40">
      <c r="A40" s="23" t="n">
        <v>4</v>
      </c>
      <c r="B40" s="24" t="inlineStr">
        <is>
          <t>The Olm</t>
        </is>
      </c>
      <c r="C40" s="25">
        <f>G31</f>
        <v/>
      </c>
      <c r="D40" s="25">
        <f>CEILING(XLOOKUP("The Olm",FactionState[Faction],FactionState[Wealth])/2+XLOOKUP("The Olm",FactionState[Faction],FactionState[Force])/4+XLOOKUP("The Olm",FactionState[Faction],FactionState[Cunning])/4, 1)</f>
        <v/>
      </c>
      <c r="E40" s="25">
        <f>MAX(0,COUNTIFS(Register[Faction],"The Olm",Register[Type],"Force")-XLOOKUP("The Olm",FactionState[Faction],FactionState[Force]))+MAX(0,COUNTIFS(Register[Faction],"The Olm",Register[Type],"Cunning")-XLOOKUP("The Olm",FactionState[Faction],FactionState[Cunning]))+MAX(0,COUNTIFS(Register[Faction],"The Olm",Register[Type],"Wealth")-XLOOKUP("The Olm",FactionState[Faction],FactionState[Wealth]))+MAX(0,COUNTIFS(Register[Faction],"The Olm",Register[Type],"Magic")-XLOOKUP("The Olm",FactionState[Faction],FactionState[Magic]))</f>
        <v/>
      </c>
      <c r="F40" s="25">
        <f>IFERROR(VALUE('Action Sheet'!I39),0)</f>
        <v/>
      </c>
      <c r="G40" s="25">
        <f>C40+D40-E40-F40</f>
        <v/>
      </c>
      <c r="H40" s="25">
        <f>'Action Sheet'!D39</f>
        <v/>
      </c>
      <c r="I40" s="25">
        <f>'Action Sheet'!E39</f>
        <v/>
      </c>
      <c r="J40" s="25">
        <f>'Action Sheet'!H39</f>
        <v/>
      </c>
      <c r="K40" s="25">
        <f>IF(H40="Attack",RANDBETWEEN(1,10),"")</f>
        <v/>
      </c>
      <c r="L40" s="25">
        <f>IF(H40="Attack", K40+IFERROR(SWITCH(XLOOKUP(I40,Catalog[Name],Catalog[AtkAttr]),"Force",XLOOKUP("The Olm",FactionState[Faction],FactionState[Force]),"Cunning",XLOOKUP("The Olm",FactionState[Faction],FactionState[Cunning]),"Wealth",XLOOKUP("The Olm",FactionState[Faction],FactionState[Wealth]),"Magic",XLOOKUP("The Olm",FactionState[Faction],FactionState[Magic]),0),0),"")</f>
        <v/>
      </c>
      <c r="M40" s="25">
        <f>IF(H40="Attack",RANDBETWEEN(1,10),"")</f>
        <v/>
      </c>
      <c r="N40" s="25">
        <f>IF(H40="Attack", M40+IFERROR(LET(def_fac, XLOOKUP(J40,Register[Asset],Register[Faction]),def_attr, XLOOKUP(I40,Catalog[Name],Catalog[DefAttr]),SWITCH(def_attr,"Force",XLOOKUP(def_fac,FactionState[Faction],FactionState[Force]),"Cunning",XLOOKUP(def_fac,FactionState[Faction],FactionState[Cunning]),"Wealth",XLOOKUP(def_fac,FactionState[Faction],FactionState[Wealth]),"Magic",XLOOKUP(def_fac,FactionState[Faction],FactionState[Magic]),0)),0),"")</f>
        <v/>
      </c>
      <c r="O40" s="25">
        <f>IF(H40&lt;&gt;"Attack","",IF(AND(ISNUMBER(L40),ISNUMBER(N40)),IF(L40&gt;N40,"Attacker","Defender"),""))</f>
        <v/>
      </c>
      <c r="P40" s="25">
        <f>IF(O40="Attacker",IFERROR(LET(nn,XLOOKUP(I40,Catalog[Name],Catalog[DmgN]),dd,XLOOKUP(I40,Catalog[Name],Catalog[DmgDie]),IF(dd=0,0,RANDBETWEEN(1,dd)+IF(nn&gt;=2,RANDBETWEEN(1,dd),0))),0),"")</f>
        <v/>
      </c>
      <c r="Q40" s="25">
        <f>IF(O40="Defender",IFERROR(LET(nn,XLOOKUP(J40,Catalog[Name],Catalog[CtrN]),dd,XLOOKUP(J40,Catalog[Name],Catalog[CtrDie]),IF(dd=0,0,RANDBETWEEN(1,dd)+IF(nn&gt;=2,RANDBETWEEN(1,dd),0))),0),"")</f>
        <v/>
      </c>
    </row>
    <row r="41">
      <c r="A41" s="20" t="n">
        <v>5</v>
      </c>
      <c r="B41" s="21" t="inlineStr">
        <is>
          <t>The Knotsmen</t>
        </is>
      </c>
      <c r="C41" s="22">
        <f>G32</f>
        <v/>
      </c>
      <c r="D41" s="22">
        <f>CEILING(XLOOKUP("The Knotsmen",FactionState[Faction],FactionState[Wealth])/2+XLOOKUP("The Knotsmen",FactionState[Faction],FactionState[Force])/4+XLOOKUP("The Knotsmen",FactionState[Faction],FactionState[Cunning])/4, 1)</f>
        <v/>
      </c>
      <c r="E41" s="22">
        <f>MAX(0,COUNTIFS(Register[Faction],"The Knotsmen",Register[Type],"Force")-XLOOKUP("The Knotsmen",FactionState[Faction],FactionState[Force]))+MAX(0,COUNTIFS(Register[Faction],"The Knotsmen",Register[Type],"Cunning")-XLOOKUP("The Knotsmen",FactionState[Faction],FactionState[Cunning]))+MAX(0,COUNTIFS(Register[Faction],"The Knotsmen",Register[Type],"Wealth")-XLOOKUP("The Knotsmen",FactionState[Faction],FactionState[Wealth]))+MAX(0,COUNTIFS(Register[Faction],"The Knotsmen",Register[Type],"Magic")-XLOOKUP("The Knotsmen",FactionState[Faction],FactionState[Magic]))</f>
        <v/>
      </c>
      <c r="F41" s="22">
        <f>IFERROR(VALUE('Action Sheet'!I40),0)</f>
        <v/>
      </c>
      <c r="G41" s="22">
        <f>C41+D41-E41-F41</f>
        <v/>
      </c>
      <c r="H41" s="22">
        <f>'Action Sheet'!D40</f>
        <v/>
      </c>
      <c r="I41" s="22">
        <f>'Action Sheet'!E40</f>
        <v/>
      </c>
      <c r="J41" s="22">
        <f>'Action Sheet'!H40</f>
        <v/>
      </c>
      <c r="K41" s="22">
        <f>IF(H41="Attack",RANDBETWEEN(1,10),"")</f>
        <v/>
      </c>
      <c r="L41" s="22">
        <f>IF(H41="Attack", K41+IFERROR(SWITCH(XLOOKUP(I41,Catalog[Name],Catalog[AtkAttr]),"Force",XLOOKUP("The Knotsmen",FactionState[Faction],FactionState[Force]),"Cunning",XLOOKUP("The Knotsmen",FactionState[Faction],FactionState[Cunning]),"Wealth",XLOOKUP("The Knotsmen",FactionState[Faction],FactionState[Wealth]),"Magic",XLOOKUP("The Knotsmen",FactionState[Faction],FactionState[Magic]),0),0),"")</f>
        <v/>
      </c>
      <c r="M41" s="22">
        <f>IF(H41="Attack",RANDBETWEEN(1,10),"")</f>
        <v/>
      </c>
      <c r="N41" s="22">
        <f>IF(H41="Attack", M41+IFERROR(LET(def_fac, XLOOKUP(J41,Register[Asset],Register[Faction]),def_attr, XLOOKUP(I41,Catalog[Name],Catalog[DefAttr]),SWITCH(def_attr,"Force",XLOOKUP(def_fac,FactionState[Faction],FactionState[Force]),"Cunning",XLOOKUP(def_fac,FactionState[Faction],FactionState[Cunning]),"Wealth",XLOOKUP(def_fac,FactionState[Faction],FactionState[Wealth]),"Magic",XLOOKUP(def_fac,FactionState[Faction],FactionState[Magic]),0)),0),"")</f>
        <v/>
      </c>
      <c r="O41" s="22">
        <f>IF(H41&lt;&gt;"Attack","",IF(AND(ISNUMBER(L41),ISNUMBER(N41)),IF(L41&gt;N41,"Attacker","Defender"),""))</f>
        <v/>
      </c>
      <c r="P41" s="22">
        <f>IF(O41="Attacker",IFERROR(LET(nn,XLOOKUP(I41,Catalog[Name],Catalog[DmgN]),dd,XLOOKUP(I41,Catalog[Name],Catalog[DmgDie]),IF(dd=0,0,RANDBETWEEN(1,dd)+IF(nn&gt;=2,RANDBETWEEN(1,dd),0))),0),"")</f>
        <v/>
      </c>
      <c r="Q41" s="22">
        <f>IF(O41="Defender",IFERROR(LET(nn,XLOOKUP(J41,Catalog[Name],Catalog[CtrN]),dd,XLOOKUP(J41,Catalog[Name],Catalog[CtrDie]),IF(dd=0,0,RANDBETWEEN(1,dd)+IF(nn&gt;=2,RANDBETWEEN(1,dd),0))),0),"")</f>
        <v/>
      </c>
    </row>
    <row r="42">
      <c r="A42" s="20" t="n">
        <v>5</v>
      </c>
      <c r="B42" s="21" t="inlineStr">
        <is>
          <t>The Aelf-Adal</t>
        </is>
      </c>
      <c r="C42" s="22">
        <f>G33</f>
        <v/>
      </c>
      <c r="D42" s="22">
        <f>CEILING(XLOOKUP("The Aelf-Adal",FactionState[Faction],FactionState[Wealth])/2+XLOOKUP("The Aelf-Adal",FactionState[Faction],FactionState[Force])/4+XLOOKUP("The Aelf-Adal",FactionState[Faction],FactionState[Cunning])/4, 1)</f>
        <v/>
      </c>
      <c r="E42" s="22">
        <f>MAX(0,COUNTIFS(Register[Faction],"The Aelf-Adal",Register[Type],"Force")-XLOOKUP("The Aelf-Adal",FactionState[Faction],FactionState[Force]))+MAX(0,COUNTIFS(Register[Faction],"The Aelf-Adal",Register[Type],"Cunning")-XLOOKUP("The Aelf-Adal",FactionState[Faction],FactionState[Cunning]))+MAX(0,COUNTIFS(Register[Faction],"The Aelf-Adal",Register[Type],"Wealth")-XLOOKUP("The Aelf-Adal",FactionState[Faction],FactionState[Wealth]))+MAX(0,COUNTIFS(Register[Faction],"The Aelf-Adal",Register[Type],"Magic")-XLOOKUP("The Aelf-Adal",FactionState[Faction],FactionState[Magic]))</f>
        <v/>
      </c>
      <c r="F42" s="22">
        <f>IFERROR(VALUE('Action Sheet'!I41),0)</f>
        <v/>
      </c>
      <c r="G42" s="22">
        <f>C42+D42-E42-F42</f>
        <v/>
      </c>
      <c r="H42" s="22">
        <f>'Action Sheet'!D41</f>
        <v/>
      </c>
      <c r="I42" s="22">
        <f>'Action Sheet'!E41</f>
        <v/>
      </c>
      <c r="J42" s="22">
        <f>'Action Sheet'!H41</f>
        <v/>
      </c>
      <c r="K42" s="22">
        <f>IF(H42="Attack",RANDBETWEEN(1,10),"")</f>
        <v/>
      </c>
      <c r="L42" s="22">
        <f>IF(H42="Attack", K42+IFERROR(SWITCH(XLOOKUP(I42,Catalog[Name],Catalog[AtkAttr]),"Force",XLOOKUP("The Aelf-Adal",FactionState[Faction],FactionState[Force]),"Cunning",XLOOKUP("The Aelf-Adal",FactionState[Faction],FactionState[Cunning]),"Wealth",XLOOKUP("The Aelf-Adal",FactionState[Faction],FactionState[Wealth]),"Magic",XLOOKUP("The Aelf-Adal",FactionState[Faction],FactionState[Magic]),0),0),"")</f>
        <v/>
      </c>
      <c r="M42" s="22">
        <f>IF(H42="Attack",RANDBETWEEN(1,10),"")</f>
        <v/>
      </c>
      <c r="N42" s="22">
        <f>IF(H42="Attack", M42+IFERROR(LET(def_fac, XLOOKUP(J42,Register[Asset],Register[Faction]),def_attr, XLOOKUP(I42,Catalog[Name],Catalog[DefAttr]),SWITCH(def_attr,"Force",XLOOKUP(def_fac,FactionState[Faction],FactionState[Force]),"Cunning",XLOOKUP(def_fac,FactionState[Faction],FactionState[Cunning]),"Wealth",XLOOKUP(def_fac,FactionState[Faction],FactionState[Wealth]),"Magic",XLOOKUP(def_fac,FactionState[Faction],FactionState[Magic]),0)),0),"")</f>
        <v/>
      </c>
      <c r="O42" s="22">
        <f>IF(H42&lt;&gt;"Attack","",IF(AND(ISNUMBER(L42),ISNUMBER(N42)),IF(L42&gt;N42,"Attacker","Defender"),""))</f>
        <v/>
      </c>
      <c r="P42" s="22">
        <f>IF(O42="Attacker",IFERROR(LET(nn,XLOOKUP(I42,Catalog[Name],Catalog[DmgN]),dd,XLOOKUP(I42,Catalog[Name],Catalog[DmgDie]),IF(dd=0,0,RANDBETWEEN(1,dd)+IF(nn&gt;=2,RANDBETWEEN(1,dd),0))),0),"")</f>
        <v/>
      </c>
      <c r="Q42" s="22">
        <f>IF(O42="Defender",IFERROR(LET(nn,XLOOKUP(J42,Catalog[Name],Catalog[CtrN]),dd,XLOOKUP(J42,Catalog[Name],Catalog[CtrDie]),IF(dd=0,0,RANDBETWEEN(1,dd)+IF(nn&gt;=2,RANDBETWEEN(1,dd),0))),0),"")</f>
        <v/>
      </c>
    </row>
    <row r="43">
      <c r="A43" s="20" t="n">
        <v>5</v>
      </c>
      <c r="B43" s="21" t="inlineStr">
        <is>
          <t>The Funginids</t>
        </is>
      </c>
      <c r="C43" s="22">
        <f>G34</f>
        <v/>
      </c>
      <c r="D43" s="22">
        <f>CEILING(XLOOKUP("The Funginids",FactionState[Faction],FactionState[Wealth])/2+XLOOKUP("The Funginids",FactionState[Faction],FactionState[Force])/4+XLOOKUP("The Funginids",FactionState[Faction],FactionState[Cunning])/4, 1)</f>
        <v/>
      </c>
      <c r="E43" s="22">
        <f>MAX(0,COUNTIFS(Register[Faction],"The Funginids",Register[Type],"Force")-XLOOKUP("The Funginids",FactionState[Faction],FactionState[Force]))+MAX(0,COUNTIFS(Register[Faction],"The Funginids",Register[Type],"Cunning")-XLOOKUP("The Funginids",FactionState[Faction],FactionState[Cunning]))+MAX(0,COUNTIFS(Register[Faction],"The Funginids",Register[Type],"Wealth")-XLOOKUP("The Funginids",FactionState[Faction],FactionState[Wealth]))+MAX(0,COUNTIFS(Register[Faction],"The Funginids",Register[Type],"Magic")-XLOOKUP("The Funginids",FactionState[Faction],FactionState[Magic]))</f>
        <v/>
      </c>
      <c r="F43" s="22">
        <f>IFERROR(VALUE('Action Sheet'!I42),0)</f>
        <v/>
      </c>
      <c r="G43" s="22">
        <f>C43+D43-E43-F43</f>
        <v/>
      </c>
      <c r="H43" s="22">
        <f>'Action Sheet'!D42</f>
        <v/>
      </c>
      <c r="I43" s="22">
        <f>'Action Sheet'!E42</f>
        <v/>
      </c>
      <c r="J43" s="22">
        <f>'Action Sheet'!H42</f>
        <v/>
      </c>
      <c r="K43" s="22">
        <f>IF(H43="Attack",RANDBETWEEN(1,10),"")</f>
        <v/>
      </c>
      <c r="L43" s="22">
        <f>IF(H43="Attack", K43+IFERROR(SWITCH(XLOOKUP(I43,Catalog[Name],Catalog[AtkAttr]),"Force",XLOOKUP("The Funginids",FactionState[Faction],FactionState[Force]),"Cunning",XLOOKUP("The Funginids",FactionState[Faction],FactionState[Cunning]),"Wealth",XLOOKUP("The Funginids",FactionState[Faction],FactionState[Wealth]),"Magic",XLOOKUP("The Funginids",FactionState[Faction],FactionState[Magic]),0),0),"")</f>
        <v/>
      </c>
      <c r="M43" s="22">
        <f>IF(H43="Attack",RANDBETWEEN(1,10),"")</f>
        <v/>
      </c>
      <c r="N43" s="22">
        <f>IF(H43="Attack", M43+IFERROR(LET(def_fac, XLOOKUP(J43,Register[Asset],Register[Faction]),def_attr, XLOOKUP(I43,Catalog[Name],Catalog[DefAttr]),SWITCH(def_attr,"Force",XLOOKUP(def_fac,FactionState[Faction],FactionState[Force]),"Cunning",XLOOKUP(def_fac,FactionState[Faction],FactionState[Cunning]),"Wealth",XLOOKUP(def_fac,FactionState[Faction],FactionState[Wealth]),"Magic",XLOOKUP(def_fac,FactionState[Faction],FactionState[Magic]),0)),0),"")</f>
        <v/>
      </c>
      <c r="O43" s="22">
        <f>IF(H43&lt;&gt;"Attack","",IF(AND(ISNUMBER(L43),ISNUMBER(N43)),IF(L43&gt;N43,"Attacker","Defender"),""))</f>
        <v/>
      </c>
      <c r="P43" s="22">
        <f>IF(O43="Attacker",IFERROR(LET(nn,XLOOKUP(I43,Catalog[Name],Catalog[DmgN]),dd,XLOOKUP(I43,Catalog[Name],Catalog[DmgDie]),IF(dd=0,0,RANDBETWEEN(1,dd)+IF(nn&gt;=2,RANDBETWEEN(1,dd),0))),0),"")</f>
        <v/>
      </c>
      <c r="Q43" s="22">
        <f>IF(O43="Defender",IFERROR(LET(nn,XLOOKUP(J43,Catalog[Name],Catalog[CtrN]),dd,XLOOKUP(J43,Catalog[Name],Catalog[CtrDie]),IF(dd=0,0,RANDBETWEEN(1,dd)+IF(nn&gt;=2,RANDBETWEEN(1,dd),0))),0),"")</f>
        <v/>
      </c>
    </row>
    <row r="44">
      <c r="A44" s="20" t="n">
        <v>5</v>
      </c>
      <c r="B44" s="21" t="inlineStr">
        <is>
          <t>The dErO</t>
        </is>
      </c>
      <c r="C44" s="22">
        <f>G35</f>
        <v/>
      </c>
      <c r="D44" s="22">
        <f>CEILING(XLOOKUP("The dErO",FactionState[Faction],FactionState[Wealth])/2+XLOOKUP("The dErO",FactionState[Faction],FactionState[Force])/4+XLOOKUP("The dErO",FactionState[Faction],FactionState[Cunning])/4, 1)</f>
        <v/>
      </c>
      <c r="E44" s="22">
        <f>MAX(0,COUNTIFS(Register[Faction],"The dErO",Register[Type],"Force")-XLOOKUP("The dErO",FactionState[Faction],FactionState[Force]))+MAX(0,COUNTIFS(Register[Faction],"The dErO",Register[Type],"Cunning")-XLOOKUP("The dErO",FactionState[Faction],FactionState[Cunning]))+MAX(0,COUNTIFS(Register[Faction],"The dErO",Register[Type],"Wealth")-XLOOKUP("The dErO",FactionState[Faction],FactionState[Wealth]))+MAX(0,COUNTIFS(Register[Faction],"The dErO",Register[Type],"Magic")-XLOOKUP("The dErO",FactionState[Faction],FactionState[Magic]))</f>
        <v/>
      </c>
      <c r="F44" s="22">
        <f>IFERROR(VALUE('Action Sheet'!I43),0)</f>
        <v/>
      </c>
      <c r="G44" s="22">
        <f>C44+D44-E44-F44</f>
        <v/>
      </c>
      <c r="H44" s="22">
        <f>'Action Sheet'!D43</f>
        <v/>
      </c>
      <c r="I44" s="22">
        <f>'Action Sheet'!E43</f>
        <v/>
      </c>
      <c r="J44" s="22">
        <f>'Action Sheet'!H43</f>
        <v/>
      </c>
      <c r="K44" s="22">
        <f>IF(H44="Attack",RANDBETWEEN(1,10),"")</f>
        <v/>
      </c>
      <c r="L44" s="22">
        <f>IF(H44="Attack", K44+IFERROR(SWITCH(XLOOKUP(I44,Catalog[Name],Catalog[AtkAttr]),"Force",XLOOKUP("The dErO",FactionState[Faction],FactionState[Force]),"Cunning",XLOOKUP("The dErO",FactionState[Faction],FactionState[Cunning]),"Wealth",XLOOKUP("The dErO",FactionState[Faction],FactionState[Wealth]),"Magic",XLOOKUP("The dErO",FactionState[Faction],FactionState[Magic]),0),0),"")</f>
        <v/>
      </c>
      <c r="M44" s="22">
        <f>IF(H44="Attack",RANDBETWEEN(1,10),"")</f>
        <v/>
      </c>
      <c r="N44" s="22">
        <f>IF(H44="Attack", M44+IFERROR(LET(def_fac, XLOOKUP(J44,Register[Asset],Register[Faction]),def_attr, XLOOKUP(I44,Catalog[Name],Catalog[DefAttr]),SWITCH(def_attr,"Force",XLOOKUP(def_fac,FactionState[Faction],FactionState[Force]),"Cunning",XLOOKUP(def_fac,FactionState[Faction],FactionState[Cunning]),"Wealth",XLOOKUP(def_fac,FactionState[Faction],FactionState[Wealth]),"Magic",XLOOKUP(def_fac,FactionState[Faction],FactionState[Magic]),0)),0),"")</f>
        <v/>
      </c>
      <c r="O44" s="22">
        <f>IF(H44&lt;&gt;"Attack","",IF(AND(ISNUMBER(L44),ISNUMBER(N44)),IF(L44&gt;N44,"Attacker","Defender"),""))</f>
        <v/>
      </c>
      <c r="P44" s="22">
        <f>IF(O44="Attacker",IFERROR(LET(nn,XLOOKUP(I44,Catalog[Name],Catalog[DmgN]),dd,XLOOKUP(I44,Catalog[Name],Catalog[DmgDie]),IF(dd=0,0,RANDBETWEEN(1,dd)+IF(nn&gt;=2,RANDBETWEEN(1,dd),0))),0),"")</f>
        <v/>
      </c>
      <c r="Q44" s="22">
        <f>IF(O44="Defender",IFERROR(LET(nn,XLOOKUP(J44,Catalog[Name],Catalog[CtrN]),dd,XLOOKUP(J44,Catalog[Name],Catalog[CtrDie]),IF(dd=0,0,RANDBETWEEN(1,dd)+IF(nn&gt;=2,RANDBETWEEN(1,dd),0))),0),"")</f>
        <v/>
      </c>
    </row>
    <row r="45">
      <c r="A45" s="20" t="n">
        <v>5</v>
      </c>
      <c r="B45" s="21" t="inlineStr">
        <is>
          <t>The Dvargir</t>
        </is>
      </c>
      <c r="C45" s="22">
        <f>G36</f>
        <v/>
      </c>
      <c r="D45" s="22">
        <f>CEILING(XLOOKUP("The Dvargir",FactionState[Faction],FactionState[Wealth])/2+XLOOKUP("The Dvargir",FactionState[Faction],FactionState[Force])/4+XLOOKUP("The Dvargir",FactionState[Faction],FactionState[Cunning])/4, 1)</f>
        <v/>
      </c>
      <c r="E45" s="22">
        <f>MAX(0,COUNTIFS(Register[Faction],"The Dvargir",Register[Type],"Force")-XLOOKUP("The Dvargir",FactionState[Faction],FactionState[Force]))+MAX(0,COUNTIFS(Register[Faction],"The Dvargir",Register[Type],"Cunning")-XLOOKUP("The Dvargir",FactionState[Faction],FactionState[Cunning]))+MAX(0,COUNTIFS(Register[Faction],"The Dvargir",Register[Type],"Wealth")-XLOOKUP("The Dvargir",FactionState[Faction],FactionState[Wealth]))+MAX(0,COUNTIFS(Register[Faction],"The Dvargir",Register[Type],"Magic")-XLOOKUP("The Dvargir",FactionState[Faction],FactionState[Magic]))</f>
        <v/>
      </c>
      <c r="F45" s="22">
        <f>IFERROR(VALUE('Action Sheet'!I44),0)</f>
        <v/>
      </c>
      <c r="G45" s="22">
        <f>C45+D45-E45-F45</f>
        <v/>
      </c>
      <c r="H45" s="22">
        <f>'Action Sheet'!D44</f>
        <v/>
      </c>
      <c r="I45" s="22">
        <f>'Action Sheet'!E44</f>
        <v/>
      </c>
      <c r="J45" s="22">
        <f>'Action Sheet'!H44</f>
        <v/>
      </c>
      <c r="K45" s="22">
        <f>IF(H45="Attack",RANDBETWEEN(1,10),"")</f>
        <v/>
      </c>
      <c r="L45" s="22">
        <f>IF(H45="Attack", K45+IFERROR(SWITCH(XLOOKUP(I45,Catalog[Name],Catalog[AtkAttr]),"Force",XLOOKUP("The Dvargir",FactionState[Faction],FactionState[Force]),"Cunning",XLOOKUP("The Dvargir",FactionState[Faction],FactionState[Cunning]),"Wealth",XLOOKUP("The Dvargir",FactionState[Faction],FactionState[Wealth]),"Magic",XLOOKUP("The Dvargir",FactionState[Faction],FactionState[Magic]),0),0),"")</f>
        <v/>
      </c>
      <c r="M45" s="22">
        <f>IF(H45="Attack",RANDBETWEEN(1,10),"")</f>
        <v/>
      </c>
      <c r="N45" s="22">
        <f>IF(H45="Attack", M45+IFERROR(LET(def_fac, XLOOKUP(J45,Register[Asset],Register[Faction]),def_attr, XLOOKUP(I45,Catalog[Name],Catalog[DefAttr]),SWITCH(def_attr,"Force",XLOOKUP(def_fac,FactionState[Faction],FactionState[Force]),"Cunning",XLOOKUP(def_fac,FactionState[Faction],FactionState[Cunning]),"Wealth",XLOOKUP(def_fac,FactionState[Faction],FactionState[Wealth]),"Magic",XLOOKUP(def_fac,FactionState[Faction],FactionState[Magic]),0)),0),"")</f>
        <v/>
      </c>
      <c r="O45" s="22">
        <f>IF(H45&lt;&gt;"Attack","",IF(AND(ISNUMBER(L45),ISNUMBER(N45)),IF(L45&gt;N45,"Attacker","Defender"),""))</f>
        <v/>
      </c>
      <c r="P45" s="22">
        <f>IF(O45="Attacker",IFERROR(LET(nn,XLOOKUP(I45,Catalog[Name],Catalog[DmgN]),dd,XLOOKUP(I45,Catalog[Name],Catalog[DmgDie]),IF(dd=0,0,RANDBETWEEN(1,dd)+IF(nn&gt;=2,RANDBETWEEN(1,dd),0))),0),"")</f>
        <v/>
      </c>
      <c r="Q45" s="22">
        <f>IF(O45="Defender",IFERROR(LET(nn,XLOOKUP(J45,Catalog[Name],Catalog[CtrN]),dd,XLOOKUP(J45,Catalog[Name],Catalog[CtrDie]),IF(dd=0,0,RANDBETWEEN(1,dd)+IF(nn&gt;=2,RANDBETWEEN(1,dd),0))),0),"")</f>
        <v/>
      </c>
    </row>
    <row r="46">
      <c r="A46" s="20" t="n">
        <v>5</v>
      </c>
      <c r="B46" s="21" t="inlineStr">
        <is>
          <t>The Gnonmen</t>
        </is>
      </c>
      <c r="C46" s="22">
        <f>G37</f>
        <v/>
      </c>
      <c r="D46" s="22">
        <f>CEILING(XLOOKUP("The Gnonmen",FactionState[Faction],FactionState[Wealth])/2+XLOOKUP("The Gnonmen",FactionState[Faction],FactionState[Force])/4+XLOOKUP("The Gnonmen",FactionState[Faction],FactionState[Cunning])/4, 1)</f>
        <v/>
      </c>
      <c r="E46" s="22">
        <f>MAX(0,COUNTIFS(Register[Faction],"The Gnonmen",Register[Type],"Force")-XLOOKUP("The Gnonmen",FactionState[Faction],FactionState[Force]))+MAX(0,COUNTIFS(Register[Faction],"The Gnonmen",Register[Type],"Cunning")-XLOOKUP("The Gnonmen",FactionState[Faction],FactionState[Cunning]))+MAX(0,COUNTIFS(Register[Faction],"The Gnonmen",Register[Type],"Wealth")-XLOOKUP("The Gnonmen",FactionState[Faction],FactionState[Wealth]))+MAX(0,COUNTIFS(Register[Faction],"The Gnonmen",Register[Type],"Magic")-XLOOKUP("The Gnonmen",FactionState[Faction],FactionState[Magic]))</f>
        <v/>
      </c>
      <c r="F46" s="22">
        <f>IFERROR(VALUE('Action Sheet'!I45),0)</f>
        <v/>
      </c>
      <c r="G46" s="22">
        <f>C46+D46-E46-F46</f>
        <v/>
      </c>
      <c r="H46" s="22">
        <f>'Action Sheet'!D45</f>
        <v/>
      </c>
      <c r="I46" s="22">
        <f>'Action Sheet'!E45</f>
        <v/>
      </c>
      <c r="J46" s="22">
        <f>'Action Sheet'!H45</f>
        <v/>
      </c>
      <c r="K46" s="22">
        <f>IF(H46="Attack",RANDBETWEEN(1,10),"")</f>
        <v/>
      </c>
      <c r="L46" s="22">
        <f>IF(H46="Attack", K46+IFERROR(SWITCH(XLOOKUP(I46,Catalog[Name],Catalog[AtkAttr]),"Force",XLOOKUP("The Gnonmen",FactionState[Faction],FactionState[Force]),"Cunning",XLOOKUP("The Gnonmen",FactionState[Faction],FactionState[Cunning]),"Wealth",XLOOKUP("The Gnonmen",FactionState[Faction],FactionState[Wealth]),"Magic",XLOOKUP("The Gnonmen",FactionState[Faction],FactionState[Magic]),0),0),"")</f>
        <v/>
      </c>
      <c r="M46" s="22">
        <f>IF(H46="Attack",RANDBETWEEN(1,10),"")</f>
        <v/>
      </c>
      <c r="N46" s="22">
        <f>IF(H46="Attack", M46+IFERROR(LET(def_fac, XLOOKUP(J46,Register[Asset],Register[Faction]),def_attr, XLOOKUP(I46,Catalog[Name],Catalog[DefAttr]),SWITCH(def_attr,"Force",XLOOKUP(def_fac,FactionState[Faction],FactionState[Force]),"Cunning",XLOOKUP(def_fac,FactionState[Faction],FactionState[Cunning]),"Wealth",XLOOKUP(def_fac,FactionState[Faction],FactionState[Wealth]),"Magic",XLOOKUP(def_fac,FactionState[Faction],FactionState[Magic]),0)),0),"")</f>
        <v/>
      </c>
      <c r="O46" s="22">
        <f>IF(H46&lt;&gt;"Attack","",IF(AND(ISNUMBER(L46),ISNUMBER(N46)),IF(L46&gt;N46,"Attacker","Defender"),""))</f>
        <v/>
      </c>
      <c r="P46" s="22">
        <f>IF(O46="Attacker",IFERROR(LET(nn,XLOOKUP(I46,Catalog[Name],Catalog[DmgN]),dd,XLOOKUP(I46,Catalog[Name],Catalog[DmgDie]),IF(dd=0,0,RANDBETWEEN(1,dd)+IF(nn&gt;=2,RANDBETWEEN(1,dd),0))),0),"")</f>
        <v/>
      </c>
      <c r="Q46" s="22">
        <f>IF(O46="Defender",IFERROR(LET(nn,XLOOKUP(J46,Catalog[Name],Catalog[CtrN]),dd,XLOOKUP(J46,Catalog[Name],Catalog[CtrDie]),IF(dd=0,0,RANDBETWEEN(1,dd)+IF(nn&gt;=2,RANDBETWEEN(1,dd),0))),0),"")</f>
        <v/>
      </c>
    </row>
    <row r="47">
      <c r="A47" s="20" t="n">
        <v>5</v>
      </c>
      <c r="B47" s="21" t="inlineStr">
        <is>
          <t>The Substratals</t>
        </is>
      </c>
      <c r="C47" s="22">
        <f>G38</f>
        <v/>
      </c>
      <c r="D47" s="22">
        <f>CEILING(XLOOKUP("The Substratals",FactionState[Faction],FactionState[Wealth])/2+XLOOKUP("The Substratals",FactionState[Faction],FactionState[Force])/4+XLOOKUP("The Substratals",FactionState[Faction],FactionState[Cunning])/4, 1)</f>
        <v/>
      </c>
      <c r="E47" s="22">
        <f>MAX(0,COUNTIFS(Register[Faction],"The Substratals",Register[Type],"Force")-XLOOKUP("The Substratals",FactionState[Faction],FactionState[Force]))+MAX(0,COUNTIFS(Register[Faction],"The Substratals",Register[Type],"Cunning")-XLOOKUP("The Substratals",FactionState[Faction],FactionState[Cunning]))+MAX(0,COUNTIFS(Register[Faction],"The Substratals",Register[Type],"Wealth")-XLOOKUP("The Substratals",FactionState[Faction],FactionState[Wealth]))+MAX(0,COUNTIFS(Register[Faction],"The Substratals",Register[Type],"Magic")-XLOOKUP("The Substratals",FactionState[Faction],FactionState[Magic]))</f>
        <v/>
      </c>
      <c r="F47" s="22">
        <f>IFERROR(VALUE('Action Sheet'!I46),0)</f>
        <v/>
      </c>
      <c r="G47" s="22">
        <f>C47+D47-E47-F47</f>
        <v/>
      </c>
      <c r="H47" s="22">
        <f>'Action Sheet'!D46</f>
        <v/>
      </c>
      <c r="I47" s="22">
        <f>'Action Sheet'!E46</f>
        <v/>
      </c>
      <c r="J47" s="22">
        <f>'Action Sheet'!H46</f>
        <v/>
      </c>
      <c r="K47" s="22">
        <f>IF(H47="Attack",RANDBETWEEN(1,10),"")</f>
        <v/>
      </c>
      <c r="L47" s="22">
        <f>IF(H47="Attack", K47+IFERROR(SWITCH(XLOOKUP(I47,Catalog[Name],Catalog[AtkAttr]),"Force",XLOOKUP("The Substratals",FactionState[Faction],FactionState[Force]),"Cunning",XLOOKUP("The Substratals",FactionState[Faction],FactionState[Cunning]),"Wealth",XLOOKUP("The Substratals",FactionState[Faction],FactionState[Wealth]),"Magic",XLOOKUP("The Substratals",FactionState[Faction],FactionState[Magic]),0),0),"")</f>
        <v/>
      </c>
      <c r="M47" s="22">
        <f>IF(H47="Attack",RANDBETWEEN(1,10),"")</f>
        <v/>
      </c>
      <c r="N47" s="22">
        <f>IF(H47="Attack", M47+IFERROR(LET(def_fac, XLOOKUP(J47,Register[Asset],Register[Faction]),def_attr, XLOOKUP(I47,Catalog[Name],Catalog[DefAttr]),SWITCH(def_attr,"Force",XLOOKUP(def_fac,FactionState[Faction],FactionState[Force]),"Cunning",XLOOKUP(def_fac,FactionState[Faction],FactionState[Cunning]),"Wealth",XLOOKUP(def_fac,FactionState[Faction],FactionState[Wealth]),"Magic",XLOOKUP(def_fac,FactionState[Faction],FactionState[Magic]),0)),0),"")</f>
        <v/>
      </c>
      <c r="O47" s="22">
        <f>IF(H47&lt;&gt;"Attack","",IF(AND(ISNUMBER(L47),ISNUMBER(N47)),IF(L47&gt;N47,"Attacker","Defender"),""))</f>
        <v/>
      </c>
      <c r="P47" s="22">
        <f>IF(O47="Attacker",IFERROR(LET(nn,XLOOKUP(I47,Catalog[Name],Catalog[DmgN]),dd,XLOOKUP(I47,Catalog[Name],Catalog[DmgDie]),IF(dd=0,0,RANDBETWEEN(1,dd)+IF(nn&gt;=2,RANDBETWEEN(1,dd),0))),0),"")</f>
        <v/>
      </c>
      <c r="Q47" s="22">
        <f>IF(O47="Defender",IFERROR(LET(nn,XLOOKUP(J47,Catalog[Name],Catalog[CtrN]),dd,XLOOKUP(J47,Catalog[Name],Catalog[CtrDie]),IF(dd=0,0,RANDBETWEEN(1,dd)+IF(nn&gt;=2,RANDBETWEEN(1,dd),0))),0),"")</f>
        <v/>
      </c>
    </row>
    <row r="48">
      <c r="A48" s="20" t="n">
        <v>5</v>
      </c>
      <c r="B48" s="21" t="inlineStr">
        <is>
          <t>The Deep Janeen</t>
        </is>
      </c>
      <c r="C48" s="22">
        <f>G39</f>
        <v/>
      </c>
      <c r="D48" s="22">
        <f>CEILING(XLOOKUP("The Deep Janeen",FactionState[Faction],FactionState[Wealth])/2+XLOOKUP("The Deep Janeen",FactionState[Faction],FactionState[Force])/4+XLOOKUP("The Deep Janeen",FactionState[Faction],FactionState[Cunning])/4, 1)</f>
        <v/>
      </c>
      <c r="E48" s="22">
        <f>MAX(0,COUNTIFS(Register[Faction],"The Deep Janeen",Register[Type],"Force")-XLOOKUP("The Deep Janeen",FactionState[Faction],FactionState[Force]))+MAX(0,COUNTIFS(Register[Faction],"The Deep Janeen",Register[Type],"Cunning")-XLOOKUP("The Deep Janeen",FactionState[Faction],FactionState[Cunning]))+MAX(0,COUNTIFS(Register[Faction],"The Deep Janeen",Register[Type],"Wealth")-XLOOKUP("The Deep Janeen",FactionState[Faction],FactionState[Wealth]))+MAX(0,COUNTIFS(Register[Faction],"The Deep Janeen",Register[Type],"Magic")-XLOOKUP("The Deep Janeen",FactionState[Faction],FactionState[Magic]))</f>
        <v/>
      </c>
      <c r="F48" s="22">
        <f>IFERROR(VALUE('Action Sheet'!I47),0)</f>
        <v/>
      </c>
      <c r="G48" s="22">
        <f>C48+D48-E48-F48</f>
        <v/>
      </c>
      <c r="H48" s="22">
        <f>'Action Sheet'!D47</f>
        <v/>
      </c>
      <c r="I48" s="22">
        <f>'Action Sheet'!E47</f>
        <v/>
      </c>
      <c r="J48" s="22">
        <f>'Action Sheet'!H47</f>
        <v/>
      </c>
      <c r="K48" s="22">
        <f>IF(H48="Attack",RANDBETWEEN(1,10),"")</f>
        <v/>
      </c>
      <c r="L48" s="22">
        <f>IF(H48="Attack", K48+IFERROR(SWITCH(XLOOKUP(I48,Catalog[Name],Catalog[AtkAttr]),"Force",XLOOKUP("The Deep Janeen",FactionState[Faction],FactionState[Force]),"Cunning",XLOOKUP("The Deep Janeen",FactionState[Faction],FactionState[Cunning]),"Wealth",XLOOKUP("The Deep Janeen",FactionState[Faction],FactionState[Wealth]),"Magic",XLOOKUP("The Deep Janeen",FactionState[Faction],FactionState[Magic]),0),0),"")</f>
        <v/>
      </c>
      <c r="M48" s="22">
        <f>IF(H48="Attack",RANDBETWEEN(1,10),"")</f>
        <v/>
      </c>
      <c r="N48" s="22">
        <f>IF(H48="Attack", M48+IFERROR(LET(def_fac, XLOOKUP(J48,Register[Asset],Register[Faction]),def_attr, XLOOKUP(I48,Catalog[Name],Catalog[DefAttr]),SWITCH(def_attr,"Force",XLOOKUP(def_fac,FactionState[Faction],FactionState[Force]),"Cunning",XLOOKUP(def_fac,FactionState[Faction],FactionState[Cunning]),"Wealth",XLOOKUP(def_fac,FactionState[Faction],FactionState[Wealth]),"Magic",XLOOKUP(def_fac,FactionState[Faction],FactionState[Magic]),0)),0),"")</f>
        <v/>
      </c>
      <c r="O48" s="22">
        <f>IF(H48&lt;&gt;"Attack","",IF(AND(ISNUMBER(L48),ISNUMBER(N48)),IF(L48&gt;N48,"Attacker","Defender"),""))</f>
        <v/>
      </c>
      <c r="P48" s="22">
        <f>IF(O48="Attacker",IFERROR(LET(nn,XLOOKUP(I48,Catalog[Name],Catalog[DmgN]),dd,XLOOKUP(I48,Catalog[Name],Catalog[DmgDie]),IF(dd=0,0,RANDBETWEEN(1,dd)+IF(nn&gt;=2,RANDBETWEEN(1,dd),0))),0),"")</f>
        <v/>
      </c>
      <c r="Q48" s="22">
        <f>IF(O48="Defender",IFERROR(LET(nn,XLOOKUP(J48,Catalog[Name],Catalog[CtrN]),dd,XLOOKUP(J48,Catalog[Name],Catalog[CtrDie]),IF(dd=0,0,RANDBETWEEN(1,dd)+IF(nn&gt;=2,RANDBETWEEN(1,dd),0))),0),"")</f>
        <v/>
      </c>
    </row>
    <row r="49">
      <c r="A49" s="20" t="n">
        <v>5</v>
      </c>
      <c r="B49" s="21" t="inlineStr">
        <is>
          <t>The Olm</t>
        </is>
      </c>
      <c r="C49" s="22">
        <f>G40</f>
        <v/>
      </c>
      <c r="D49" s="22">
        <f>CEILING(XLOOKUP("The Olm",FactionState[Faction],FactionState[Wealth])/2+XLOOKUP("The Olm",FactionState[Faction],FactionState[Force])/4+XLOOKUP("The Olm",FactionState[Faction],FactionState[Cunning])/4, 1)</f>
        <v/>
      </c>
      <c r="E49" s="22">
        <f>MAX(0,COUNTIFS(Register[Faction],"The Olm",Register[Type],"Force")-XLOOKUP("The Olm",FactionState[Faction],FactionState[Force]))+MAX(0,COUNTIFS(Register[Faction],"The Olm",Register[Type],"Cunning")-XLOOKUP("The Olm",FactionState[Faction],FactionState[Cunning]))+MAX(0,COUNTIFS(Register[Faction],"The Olm",Register[Type],"Wealth")-XLOOKUP("The Olm",FactionState[Faction],FactionState[Wealth]))+MAX(0,COUNTIFS(Register[Faction],"The Olm",Register[Type],"Magic")-XLOOKUP("The Olm",FactionState[Faction],FactionState[Magic]))</f>
        <v/>
      </c>
      <c r="F49" s="22">
        <f>IFERROR(VALUE('Action Sheet'!I48),0)</f>
        <v/>
      </c>
      <c r="G49" s="22">
        <f>C49+D49-E49-F49</f>
        <v/>
      </c>
      <c r="H49" s="22">
        <f>'Action Sheet'!D48</f>
        <v/>
      </c>
      <c r="I49" s="22">
        <f>'Action Sheet'!E48</f>
        <v/>
      </c>
      <c r="J49" s="22">
        <f>'Action Sheet'!H48</f>
        <v/>
      </c>
      <c r="K49" s="22">
        <f>IF(H49="Attack",RANDBETWEEN(1,10),"")</f>
        <v/>
      </c>
      <c r="L49" s="22">
        <f>IF(H49="Attack", K49+IFERROR(SWITCH(XLOOKUP(I49,Catalog[Name],Catalog[AtkAttr]),"Force",XLOOKUP("The Olm",FactionState[Faction],FactionState[Force]),"Cunning",XLOOKUP("The Olm",FactionState[Faction],FactionState[Cunning]),"Wealth",XLOOKUP("The Olm",FactionState[Faction],FactionState[Wealth]),"Magic",XLOOKUP("The Olm",FactionState[Faction],FactionState[Magic]),0),0),"")</f>
        <v/>
      </c>
      <c r="M49" s="22">
        <f>IF(H49="Attack",RANDBETWEEN(1,10),"")</f>
        <v/>
      </c>
      <c r="N49" s="22">
        <f>IF(H49="Attack", M49+IFERROR(LET(def_fac, XLOOKUP(J49,Register[Asset],Register[Faction]),def_attr, XLOOKUP(I49,Catalog[Name],Catalog[DefAttr]),SWITCH(def_attr,"Force",XLOOKUP(def_fac,FactionState[Faction],FactionState[Force]),"Cunning",XLOOKUP(def_fac,FactionState[Faction],FactionState[Cunning]),"Wealth",XLOOKUP(def_fac,FactionState[Faction],FactionState[Wealth]),"Magic",XLOOKUP(def_fac,FactionState[Faction],FactionState[Magic]),0)),0),"")</f>
        <v/>
      </c>
      <c r="O49" s="22">
        <f>IF(H49&lt;&gt;"Attack","",IF(AND(ISNUMBER(L49),ISNUMBER(N49)),IF(L49&gt;N49,"Attacker","Defender"),""))</f>
        <v/>
      </c>
      <c r="P49" s="22">
        <f>IF(O49="Attacker",IFERROR(LET(nn,XLOOKUP(I49,Catalog[Name],Catalog[DmgN]),dd,XLOOKUP(I49,Catalog[Name],Catalog[DmgDie]),IF(dd=0,0,RANDBETWEEN(1,dd)+IF(nn&gt;=2,RANDBETWEEN(1,dd),0))),0),"")</f>
        <v/>
      </c>
      <c r="Q49" s="22">
        <f>IF(O49="Defender",IFERROR(LET(nn,XLOOKUP(J49,Catalog[Name],Catalog[CtrN]),dd,XLOOKUP(J49,Catalog[Name],Catalog[CtrDie]),IF(dd=0,0,RANDBETWEEN(1,dd)+IF(nn&gt;=2,RANDBETWEEN(1,dd),0))),0),"")</f>
        <v/>
      </c>
    </row>
    <row r="50">
      <c r="A50" s="23" t="n">
        <v>6</v>
      </c>
      <c r="B50" s="24" t="inlineStr">
        <is>
          <t>The Knotsmen</t>
        </is>
      </c>
      <c r="C50" s="25">
        <f>G41</f>
        <v/>
      </c>
      <c r="D50" s="25">
        <f>CEILING(XLOOKUP("The Knotsmen",FactionState[Faction],FactionState[Wealth])/2+XLOOKUP("The Knotsmen",FactionState[Faction],FactionState[Force])/4+XLOOKUP("The Knotsmen",FactionState[Faction],FactionState[Cunning])/4, 1)</f>
        <v/>
      </c>
      <c r="E50" s="25">
        <f>MAX(0,COUNTIFS(Register[Faction],"The Knotsmen",Register[Type],"Force")-XLOOKUP("The Knotsmen",FactionState[Faction],FactionState[Force]))+MAX(0,COUNTIFS(Register[Faction],"The Knotsmen",Register[Type],"Cunning")-XLOOKUP("The Knotsmen",FactionState[Faction],FactionState[Cunning]))+MAX(0,COUNTIFS(Register[Faction],"The Knotsmen",Register[Type],"Wealth")-XLOOKUP("The Knotsmen",FactionState[Faction],FactionState[Wealth]))+MAX(0,COUNTIFS(Register[Faction],"The Knotsmen",Register[Type],"Magic")-XLOOKUP("The Knotsmen",FactionState[Faction],FactionState[Magic]))</f>
        <v/>
      </c>
      <c r="F50" s="25">
        <f>IFERROR(VALUE('Action Sheet'!I49),0)</f>
        <v/>
      </c>
      <c r="G50" s="25">
        <f>C50+D50-E50-F50</f>
        <v/>
      </c>
      <c r="H50" s="25">
        <f>'Action Sheet'!D49</f>
        <v/>
      </c>
      <c r="I50" s="25">
        <f>'Action Sheet'!E49</f>
        <v/>
      </c>
      <c r="J50" s="25">
        <f>'Action Sheet'!H49</f>
        <v/>
      </c>
      <c r="K50" s="25">
        <f>IF(H50="Attack",RANDBETWEEN(1,10),"")</f>
        <v/>
      </c>
      <c r="L50" s="25">
        <f>IF(H50="Attack", K50+IFERROR(SWITCH(XLOOKUP(I50,Catalog[Name],Catalog[AtkAttr]),"Force",XLOOKUP("The Knotsmen",FactionState[Faction],FactionState[Force]),"Cunning",XLOOKUP("The Knotsmen",FactionState[Faction],FactionState[Cunning]),"Wealth",XLOOKUP("The Knotsmen",FactionState[Faction],FactionState[Wealth]),"Magic",XLOOKUP("The Knotsmen",FactionState[Faction],FactionState[Magic]),0),0),"")</f>
        <v/>
      </c>
      <c r="M50" s="25">
        <f>IF(H50="Attack",RANDBETWEEN(1,10),"")</f>
        <v/>
      </c>
      <c r="N50" s="25">
        <f>IF(H50="Attack", M50+IFERROR(LET(def_fac, XLOOKUP(J50,Register[Asset],Register[Faction]),def_attr, XLOOKUP(I50,Catalog[Name],Catalog[DefAttr]),SWITCH(def_attr,"Force",XLOOKUP(def_fac,FactionState[Faction],FactionState[Force]),"Cunning",XLOOKUP(def_fac,FactionState[Faction],FactionState[Cunning]),"Wealth",XLOOKUP(def_fac,FactionState[Faction],FactionState[Wealth]),"Magic",XLOOKUP(def_fac,FactionState[Faction],FactionState[Magic]),0)),0),"")</f>
        <v/>
      </c>
      <c r="O50" s="25">
        <f>IF(H50&lt;&gt;"Attack","",IF(AND(ISNUMBER(L50),ISNUMBER(N50)),IF(L50&gt;N50,"Attacker","Defender"),""))</f>
        <v/>
      </c>
      <c r="P50" s="25">
        <f>IF(O50="Attacker",IFERROR(LET(nn,XLOOKUP(I50,Catalog[Name],Catalog[DmgN]),dd,XLOOKUP(I50,Catalog[Name],Catalog[DmgDie]),IF(dd=0,0,RANDBETWEEN(1,dd)+IF(nn&gt;=2,RANDBETWEEN(1,dd),0))),0),"")</f>
        <v/>
      </c>
      <c r="Q50" s="25">
        <f>IF(O50="Defender",IFERROR(LET(nn,XLOOKUP(J50,Catalog[Name],Catalog[CtrN]),dd,XLOOKUP(J50,Catalog[Name],Catalog[CtrDie]),IF(dd=0,0,RANDBETWEEN(1,dd)+IF(nn&gt;=2,RANDBETWEEN(1,dd),0))),0),"")</f>
        <v/>
      </c>
    </row>
    <row r="51">
      <c r="A51" s="23" t="n">
        <v>6</v>
      </c>
      <c r="B51" s="24" t="inlineStr">
        <is>
          <t>The Aelf-Adal</t>
        </is>
      </c>
      <c r="C51" s="25">
        <f>G42</f>
        <v/>
      </c>
      <c r="D51" s="25">
        <f>CEILING(XLOOKUP("The Aelf-Adal",FactionState[Faction],FactionState[Wealth])/2+XLOOKUP("The Aelf-Adal",FactionState[Faction],FactionState[Force])/4+XLOOKUP("The Aelf-Adal",FactionState[Faction],FactionState[Cunning])/4, 1)</f>
        <v/>
      </c>
      <c r="E51" s="25">
        <f>MAX(0,COUNTIFS(Register[Faction],"The Aelf-Adal",Register[Type],"Force")-XLOOKUP("The Aelf-Adal",FactionState[Faction],FactionState[Force]))+MAX(0,COUNTIFS(Register[Faction],"The Aelf-Adal",Register[Type],"Cunning")-XLOOKUP("The Aelf-Adal",FactionState[Faction],FactionState[Cunning]))+MAX(0,COUNTIFS(Register[Faction],"The Aelf-Adal",Register[Type],"Wealth")-XLOOKUP("The Aelf-Adal",FactionState[Faction],FactionState[Wealth]))+MAX(0,COUNTIFS(Register[Faction],"The Aelf-Adal",Register[Type],"Magic")-XLOOKUP("The Aelf-Adal",FactionState[Faction],FactionState[Magic]))</f>
        <v/>
      </c>
      <c r="F51" s="25">
        <f>IFERROR(VALUE('Action Sheet'!I50),0)</f>
        <v/>
      </c>
      <c r="G51" s="25">
        <f>C51+D51-E51-F51</f>
        <v/>
      </c>
      <c r="H51" s="25">
        <f>'Action Sheet'!D50</f>
        <v/>
      </c>
      <c r="I51" s="25">
        <f>'Action Sheet'!E50</f>
        <v/>
      </c>
      <c r="J51" s="25">
        <f>'Action Sheet'!H50</f>
        <v/>
      </c>
      <c r="K51" s="25">
        <f>IF(H51="Attack",RANDBETWEEN(1,10),"")</f>
        <v/>
      </c>
      <c r="L51" s="25">
        <f>IF(H51="Attack", K51+IFERROR(SWITCH(XLOOKUP(I51,Catalog[Name],Catalog[AtkAttr]),"Force",XLOOKUP("The Aelf-Adal",FactionState[Faction],FactionState[Force]),"Cunning",XLOOKUP("The Aelf-Adal",FactionState[Faction],FactionState[Cunning]),"Wealth",XLOOKUP("The Aelf-Adal",FactionState[Faction],FactionState[Wealth]),"Magic",XLOOKUP("The Aelf-Adal",FactionState[Faction],FactionState[Magic]),0),0),"")</f>
        <v/>
      </c>
      <c r="M51" s="25">
        <f>IF(H51="Attack",RANDBETWEEN(1,10),"")</f>
        <v/>
      </c>
      <c r="N51" s="25">
        <f>IF(H51="Attack", M51+IFERROR(LET(def_fac, XLOOKUP(J51,Register[Asset],Register[Faction]),def_attr, XLOOKUP(I51,Catalog[Name],Catalog[DefAttr]),SWITCH(def_attr,"Force",XLOOKUP(def_fac,FactionState[Faction],FactionState[Force]),"Cunning",XLOOKUP(def_fac,FactionState[Faction],FactionState[Cunning]),"Wealth",XLOOKUP(def_fac,FactionState[Faction],FactionState[Wealth]),"Magic",XLOOKUP(def_fac,FactionState[Faction],FactionState[Magic]),0)),0),"")</f>
        <v/>
      </c>
      <c r="O51" s="25">
        <f>IF(H51&lt;&gt;"Attack","",IF(AND(ISNUMBER(L51),ISNUMBER(N51)),IF(L51&gt;N51,"Attacker","Defender"),""))</f>
        <v/>
      </c>
      <c r="P51" s="25">
        <f>IF(O51="Attacker",IFERROR(LET(nn,XLOOKUP(I51,Catalog[Name],Catalog[DmgN]),dd,XLOOKUP(I51,Catalog[Name],Catalog[DmgDie]),IF(dd=0,0,RANDBETWEEN(1,dd)+IF(nn&gt;=2,RANDBETWEEN(1,dd),0))),0),"")</f>
        <v/>
      </c>
      <c r="Q51" s="25">
        <f>IF(O51="Defender",IFERROR(LET(nn,XLOOKUP(J51,Catalog[Name],Catalog[CtrN]),dd,XLOOKUP(J51,Catalog[Name],Catalog[CtrDie]),IF(dd=0,0,RANDBETWEEN(1,dd)+IF(nn&gt;=2,RANDBETWEEN(1,dd),0))),0),"")</f>
        <v/>
      </c>
    </row>
    <row r="52">
      <c r="A52" s="23" t="n">
        <v>6</v>
      </c>
      <c r="B52" s="24" t="inlineStr">
        <is>
          <t>The Funginids</t>
        </is>
      </c>
      <c r="C52" s="25">
        <f>G43</f>
        <v/>
      </c>
      <c r="D52" s="25">
        <f>CEILING(XLOOKUP("The Funginids",FactionState[Faction],FactionState[Wealth])/2+XLOOKUP("The Funginids",FactionState[Faction],FactionState[Force])/4+XLOOKUP("The Funginids",FactionState[Faction],FactionState[Cunning])/4, 1)</f>
        <v/>
      </c>
      <c r="E52" s="25">
        <f>MAX(0,COUNTIFS(Register[Faction],"The Funginids",Register[Type],"Force")-XLOOKUP("The Funginids",FactionState[Faction],FactionState[Force]))+MAX(0,COUNTIFS(Register[Faction],"The Funginids",Register[Type],"Cunning")-XLOOKUP("The Funginids",FactionState[Faction],FactionState[Cunning]))+MAX(0,COUNTIFS(Register[Faction],"The Funginids",Register[Type],"Wealth")-XLOOKUP("The Funginids",FactionState[Faction],FactionState[Wealth]))+MAX(0,COUNTIFS(Register[Faction],"The Funginids",Register[Type],"Magic")-XLOOKUP("The Funginids",FactionState[Faction],FactionState[Magic]))</f>
        <v/>
      </c>
      <c r="F52" s="25">
        <f>IFERROR(VALUE('Action Sheet'!I51),0)</f>
        <v/>
      </c>
      <c r="G52" s="25">
        <f>C52+D52-E52-F52</f>
        <v/>
      </c>
      <c r="H52" s="25">
        <f>'Action Sheet'!D51</f>
        <v/>
      </c>
      <c r="I52" s="25">
        <f>'Action Sheet'!E51</f>
        <v/>
      </c>
      <c r="J52" s="25">
        <f>'Action Sheet'!H51</f>
        <v/>
      </c>
      <c r="K52" s="25">
        <f>IF(H52="Attack",RANDBETWEEN(1,10),"")</f>
        <v/>
      </c>
      <c r="L52" s="25">
        <f>IF(H52="Attack", K52+IFERROR(SWITCH(XLOOKUP(I52,Catalog[Name],Catalog[AtkAttr]),"Force",XLOOKUP("The Funginids",FactionState[Faction],FactionState[Force]),"Cunning",XLOOKUP("The Funginids",FactionState[Faction],FactionState[Cunning]),"Wealth",XLOOKUP("The Funginids",FactionState[Faction],FactionState[Wealth]),"Magic",XLOOKUP("The Funginids",FactionState[Faction],FactionState[Magic]),0),0),"")</f>
        <v/>
      </c>
      <c r="M52" s="25">
        <f>IF(H52="Attack",RANDBETWEEN(1,10),"")</f>
        <v/>
      </c>
      <c r="N52" s="25">
        <f>IF(H52="Attack", M52+IFERROR(LET(def_fac, XLOOKUP(J52,Register[Asset],Register[Faction]),def_attr, XLOOKUP(I52,Catalog[Name],Catalog[DefAttr]),SWITCH(def_attr,"Force",XLOOKUP(def_fac,FactionState[Faction],FactionState[Force]),"Cunning",XLOOKUP(def_fac,FactionState[Faction],FactionState[Cunning]),"Wealth",XLOOKUP(def_fac,FactionState[Faction],FactionState[Wealth]),"Magic",XLOOKUP(def_fac,FactionState[Faction],FactionState[Magic]),0)),0),"")</f>
        <v/>
      </c>
      <c r="O52" s="25">
        <f>IF(H52&lt;&gt;"Attack","",IF(AND(ISNUMBER(L52),ISNUMBER(N52)),IF(L52&gt;N52,"Attacker","Defender"),""))</f>
        <v/>
      </c>
      <c r="P52" s="25">
        <f>IF(O52="Attacker",IFERROR(LET(nn,XLOOKUP(I52,Catalog[Name],Catalog[DmgN]),dd,XLOOKUP(I52,Catalog[Name],Catalog[DmgDie]),IF(dd=0,0,RANDBETWEEN(1,dd)+IF(nn&gt;=2,RANDBETWEEN(1,dd),0))),0),"")</f>
        <v/>
      </c>
      <c r="Q52" s="25">
        <f>IF(O52="Defender",IFERROR(LET(nn,XLOOKUP(J52,Catalog[Name],Catalog[CtrN]),dd,XLOOKUP(J52,Catalog[Name],Catalog[CtrDie]),IF(dd=0,0,RANDBETWEEN(1,dd)+IF(nn&gt;=2,RANDBETWEEN(1,dd),0))),0),"")</f>
        <v/>
      </c>
    </row>
    <row r="53">
      <c r="A53" s="23" t="n">
        <v>6</v>
      </c>
      <c r="B53" s="24" t="inlineStr">
        <is>
          <t>The dErO</t>
        </is>
      </c>
      <c r="C53" s="25">
        <f>G44</f>
        <v/>
      </c>
      <c r="D53" s="25">
        <f>CEILING(XLOOKUP("The dErO",FactionState[Faction],FactionState[Wealth])/2+XLOOKUP("The dErO",FactionState[Faction],FactionState[Force])/4+XLOOKUP("The dErO",FactionState[Faction],FactionState[Cunning])/4, 1)</f>
        <v/>
      </c>
      <c r="E53" s="25">
        <f>MAX(0,COUNTIFS(Register[Faction],"The dErO",Register[Type],"Force")-XLOOKUP("The dErO",FactionState[Faction],FactionState[Force]))+MAX(0,COUNTIFS(Register[Faction],"The dErO",Register[Type],"Cunning")-XLOOKUP("The dErO",FactionState[Faction],FactionState[Cunning]))+MAX(0,COUNTIFS(Register[Faction],"The dErO",Register[Type],"Wealth")-XLOOKUP("The dErO",FactionState[Faction],FactionState[Wealth]))+MAX(0,COUNTIFS(Register[Faction],"The dErO",Register[Type],"Magic")-XLOOKUP("The dErO",FactionState[Faction],FactionState[Magic]))</f>
        <v/>
      </c>
      <c r="F53" s="25">
        <f>IFERROR(VALUE('Action Sheet'!I52),0)</f>
        <v/>
      </c>
      <c r="G53" s="25">
        <f>C53+D53-E53-F53</f>
        <v/>
      </c>
      <c r="H53" s="25">
        <f>'Action Sheet'!D52</f>
        <v/>
      </c>
      <c r="I53" s="25">
        <f>'Action Sheet'!E52</f>
        <v/>
      </c>
      <c r="J53" s="25">
        <f>'Action Sheet'!H52</f>
        <v/>
      </c>
      <c r="K53" s="25">
        <f>IF(H53="Attack",RANDBETWEEN(1,10),"")</f>
        <v/>
      </c>
      <c r="L53" s="25">
        <f>IF(H53="Attack", K53+IFERROR(SWITCH(XLOOKUP(I53,Catalog[Name],Catalog[AtkAttr]),"Force",XLOOKUP("The dErO",FactionState[Faction],FactionState[Force]),"Cunning",XLOOKUP("The dErO",FactionState[Faction],FactionState[Cunning]),"Wealth",XLOOKUP("The dErO",FactionState[Faction],FactionState[Wealth]),"Magic",XLOOKUP("The dErO",FactionState[Faction],FactionState[Magic]),0),0),"")</f>
        <v/>
      </c>
      <c r="M53" s="25">
        <f>IF(H53="Attack",RANDBETWEEN(1,10),"")</f>
        <v/>
      </c>
      <c r="N53" s="25">
        <f>IF(H53="Attack", M53+IFERROR(LET(def_fac, XLOOKUP(J53,Register[Asset],Register[Faction]),def_attr, XLOOKUP(I53,Catalog[Name],Catalog[DefAttr]),SWITCH(def_attr,"Force",XLOOKUP(def_fac,FactionState[Faction],FactionState[Force]),"Cunning",XLOOKUP(def_fac,FactionState[Faction],FactionState[Cunning]),"Wealth",XLOOKUP(def_fac,FactionState[Faction],FactionState[Wealth]),"Magic",XLOOKUP(def_fac,FactionState[Faction],FactionState[Magic]),0)),0),"")</f>
        <v/>
      </c>
      <c r="O53" s="25">
        <f>IF(H53&lt;&gt;"Attack","",IF(AND(ISNUMBER(L53),ISNUMBER(N53)),IF(L53&gt;N53,"Attacker","Defender"),""))</f>
        <v/>
      </c>
      <c r="P53" s="25">
        <f>IF(O53="Attacker",IFERROR(LET(nn,XLOOKUP(I53,Catalog[Name],Catalog[DmgN]),dd,XLOOKUP(I53,Catalog[Name],Catalog[DmgDie]),IF(dd=0,0,RANDBETWEEN(1,dd)+IF(nn&gt;=2,RANDBETWEEN(1,dd),0))),0),"")</f>
        <v/>
      </c>
      <c r="Q53" s="25">
        <f>IF(O53="Defender",IFERROR(LET(nn,XLOOKUP(J53,Catalog[Name],Catalog[CtrN]),dd,XLOOKUP(J53,Catalog[Name],Catalog[CtrDie]),IF(dd=0,0,RANDBETWEEN(1,dd)+IF(nn&gt;=2,RANDBETWEEN(1,dd),0))),0),"")</f>
        <v/>
      </c>
    </row>
    <row r="54">
      <c r="A54" s="23" t="n">
        <v>6</v>
      </c>
      <c r="B54" s="24" t="inlineStr">
        <is>
          <t>The Dvargir</t>
        </is>
      </c>
      <c r="C54" s="25">
        <f>G45</f>
        <v/>
      </c>
      <c r="D54" s="25">
        <f>CEILING(XLOOKUP("The Dvargir",FactionState[Faction],FactionState[Wealth])/2+XLOOKUP("The Dvargir",FactionState[Faction],FactionState[Force])/4+XLOOKUP("The Dvargir",FactionState[Faction],FactionState[Cunning])/4, 1)</f>
        <v/>
      </c>
      <c r="E54" s="25">
        <f>MAX(0,COUNTIFS(Register[Faction],"The Dvargir",Register[Type],"Force")-XLOOKUP("The Dvargir",FactionState[Faction],FactionState[Force]))+MAX(0,COUNTIFS(Register[Faction],"The Dvargir",Register[Type],"Cunning")-XLOOKUP("The Dvargir",FactionState[Faction],FactionState[Cunning]))+MAX(0,COUNTIFS(Register[Faction],"The Dvargir",Register[Type],"Wealth")-XLOOKUP("The Dvargir",FactionState[Faction],FactionState[Wealth]))+MAX(0,COUNTIFS(Register[Faction],"The Dvargir",Register[Type],"Magic")-XLOOKUP("The Dvargir",FactionState[Faction],FactionState[Magic]))</f>
        <v/>
      </c>
      <c r="F54" s="25">
        <f>IFERROR(VALUE('Action Sheet'!I53),0)</f>
        <v/>
      </c>
      <c r="G54" s="25">
        <f>C54+D54-E54-F54</f>
        <v/>
      </c>
      <c r="H54" s="25">
        <f>'Action Sheet'!D53</f>
        <v/>
      </c>
      <c r="I54" s="25">
        <f>'Action Sheet'!E53</f>
        <v/>
      </c>
      <c r="J54" s="25">
        <f>'Action Sheet'!H53</f>
        <v/>
      </c>
      <c r="K54" s="25">
        <f>IF(H54="Attack",RANDBETWEEN(1,10),"")</f>
        <v/>
      </c>
      <c r="L54" s="25">
        <f>IF(H54="Attack", K54+IFERROR(SWITCH(XLOOKUP(I54,Catalog[Name],Catalog[AtkAttr]),"Force",XLOOKUP("The Dvargir",FactionState[Faction],FactionState[Force]),"Cunning",XLOOKUP("The Dvargir",FactionState[Faction],FactionState[Cunning]),"Wealth",XLOOKUP("The Dvargir",FactionState[Faction],FactionState[Wealth]),"Magic",XLOOKUP("The Dvargir",FactionState[Faction],FactionState[Magic]),0),0),"")</f>
        <v/>
      </c>
      <c r="M54" s="25">
        <f>IF(H54="Attack",RANDBETWEEN(1,10),"")</f>
        <v/>
      </c>
      <c r="N54" s="25">
        <f>IF(H54="Attack", M54+IFERROR(LET(def_fac, XLOOKUP(J54,Register[Asset],Register[Faction]),def_attr, XLOOKUP(I54,Catalog[Name],Catalog[DefAttr]),SWITCH(def_attr,"Force",XLOOKUP(def_fac,FactionState[Faction],FactionState[Force]),"Cunning",XLOOKUP(def_fac,FactionState[Faction],FactionState[Cunning]),"Wealth",XLOOKUP(def_fac,FactionState[Faction],FactionState[Wealth]),"Magic",XLOOKUP(def_fac,FactionState[Faction],FactionState[Magic]),0)),0),"")</f>
        <v/>
      </c>
      <c r="O54" s="25">
        <f>IF(H54&lt;&gt;"Attack","",IF(AND(ISNUMBER(L54),ISNUMBER(N54)),IF(L54&gt;N54,"Attacker","Defender"),""))</f>
        <v/>
      </c>
      <c r="P54" s="25">
        <f>IF(O54="Attacker",IFERROR(LET(nn,XLOOKUP(I54,Catalog[Name],Catalog[DmgN]),dd,XLOOKUP(I54,Catalog[Name],Catalog[DmgDie]),IF(dd=0,0,RANDBETWEEN(1,dd)+IF(nn&gt;=2,RANDBETWEEN(1,dd),0))),0),"")</f>
        <v/>
      </c>
      <c r="Q54" s="25">
        <f>IF(O54="Defender",IFERROR(LET(nn,XLOOKUP(J54,Catalog[Name],Catalog[CtrN]),dd,XLOOKUP(J54,Catalog[Name],Catalog[CtrDie]),IF(dd=0,0,RANDBETWEEN(1,dd)+IF(nn&gt;=2,RANDBETWEEN(1,dd),0))),0),"")</f>
        <v/>
      </c>
    </row>
    <row r="55">
      <c r="A55" s="23" t="n">
        <v>6</v>
      </c>
      <c r="B55" s="24" t="inlineStr">
        <is>
          <t>The Gnonmen</t>
        </is>
      </c>
      <c r="C55" s="25">
        <f>G46</f>
        <v/>
      </c>
      <c r="D55" s="25">
        <f>CEILING(XLOOKUP("The Gnonmen",FactionState[Faction],FactionState[Wealth])/2+XLOOKUP("The Gnonmen",FactionState[Faction],FactionState[Force])/4+XLOOKUP("The Gnonmen",FactionState[Faction],FactionState[Cunning])/4, 1)</f>
        <v/>
      </c>
      <c r="E55" s="25">
        <f>MAX(0,COUNTIFS(Register[Faction],"The Gnonmen",Register[Type],"Force")-XLOOKUP("The Gnonmen",FactionState[Faction],FactionState[Force]))+MAX(0,COUNTIFS(Register[Faction],"The Gnonmen",Register[Type],"Cunning")-XLOOKUP("The Gnonmen",FactionState[Faction],FactionState[Cunning]))+MAX(0,COUNTIFS(Register[Faction],"The Gnonmen",Register[Type],"Wealth")-XLOOKUP("The Gnonmen",FactionState[Faction],FactionState[Wealth]))+MAX(0,COUNTIFS(Register[Faction],"The Gnonmen",Register[Type],"Magic")-XLOOKUP("The Gnonmen",FactionState[Faction],FactionState[Magic]))</f>
        <v/>
      </c>
      <c r="F55" s="25">
        <f>IFERROR(VALUE('Action Sheet'!I54),0)</f>
        <v/>
      </c>
      <c r="G55" s="25">
        <f>C55+D55-E55-F55</f>
        <v/>
      </c>
      <c r="H55" s="25">
        <f>'Action Sheet'!D54</f>
        <v/>
      </c>
      <c r="I55" s="25">
        <f>'Action Sheet'!E54</f>
        <v/>
      </c>
      <c r="J55" s="25">
        <f>'Action Sheet'!H54</f>
        <v/>
      </c>
      <c r="K55" s="25">
        <f>IF(H55="Attack",RANDBETWEEN(1,10),"")</f>
        <v/>
      </c>
      <c r="L55" s="25">
        <f>IF(H55="Attack", K55+IFERROR(SWITCH(XLOOKUP(I55,Catalog[Name],Catalog[AtkAttr]),"Force",XLOOKUP("The Gnonmen",FactionState[Faction],FactionState[Force]),"Cunning",XLOOKUP("The Gnonmen",FactionState[Faction],FactionState[Cunning]),"Wealth",XLOOKUP("The Gnonmen",FactionState[Faction],FactionState[Wealth]),"Magic",XLOOKUP("The Gnonmen",FactionState[Faction],FactionState[Magic]),0),0),"")</f>
        <v/>
      </c>
      <c r="M55" s="25">
        <f>IF(H55="Attack",RANDBETWEEN(1,10),"")</f>
        <v/>
      </c>
      <c r="N55" s="25">
        <f>IF(H55="Attack", M55+IFERROR(LET(def_fac, XLOOKUP(J55,Register[Asset],Register[Faction]),def_attr, XLOOKUP(I55,Catalog[Name],Catalog[DefAttr]),SWITCH(def_attr,"Force",XLOOKUP(def_fac,FactionState[Faction],FactionState[Force]),"Cunning",XLOOKUP(def_fac,FactionState[Faction],FactionState[Cunning]),"Wealth",XLOOKUP(def_fac,FactionState[Faction],FactionState[Wealth]),"Magic",XLOOKUP(def_fac,FactionState[Faction],FactionState[Magic]),0)),0),"")</f>
        <v/>
      </c>
      <c r="O55" s="25">
        <f>IF(H55&lt;&gt;"Attack","",IF(AND(ISNUMBER(L55),ISNUMBER(N55)),IF(L55&gt;N55,"Attacker","Defender"),""))</f>
        <v/>
      </c>
      <c r="P55" s="25">
        <f>IF(O55="Attacker",IFERROR(LET(nn,XLOOKUP(I55,Catalog[Name],Catalog[DmgN]),dd,XLOOKUP(I55,Catalog[Name],Catalog[DmgDie]),IF(dd=0,0,RANDBETWEEN(1,dd)+IF(nn&gt;=2,RANDBETWEEN(1,dd),0))),0),"")</f>
        <v/>
      </c>
      <c r="Q55" s="25">
        <f>IF(O55="Defender",IFERROR(LET(nn,XLOOKUP(J55,Catalog[Name],Catalog[CtrN]),dd,XLOOKUP(J55,Catalog[Name],Catalog[CtrDie]),IF(dd=0,0,RANDBETWEEN(1,dd)+IF(nn&gt;=2,RANDBETWEEN(1,dd),0))),0),"")</f>
        <v/>
      </c>
    </row>
    <row r="56">
      <c r="A56" s="23" t="n">
        <v>6</v>
      </c>
      <c r="B56" s="24" t="inlineStr">
        <is>
          <t>The Substratals</t>
        </is>
      </c>
      <c r="C56" s="25">
        <f>G47</f>
        <v/>
      </c>
      <c r="D56" s="25">
        <f>CEILING(XLOOKUP("The Substratals",FactionState[Faction],FactionState[Wealth])/2+XLOOKUP("The Substratals",FactionState[Faction],FactionState[Force])/4+XLOOKUP("The Substratals",FactionState[Faction],FactionState[Cunning])/4, 1)</f>
        <v/>
      </c>
      <c r="E56" s="25">
        <f>MAX(0,COUNTIFS(Register[Faction],"The Substratals",Register[Type],"Force")-XLOOKUP("The Substratals",FactionState[Faction],FactionState[Force]))+MAX(0,COUNTIFS(Register[Faction],"The Substratals",Register[Type],"Cunning")-XLOOKUP("The Substratals",FactionState[Faction],FactionState[Cunning]))+MAX(0,COUNTIFS(Register[Faction],"The Substratals",Register[Type],"Wealth")-XLOOKUP("The Substratals",FactionState[Faction],FactionState[Wealth]))+MAX(0,COUNTIFS(Register[Faction],"The Substratals",Register[Type],"Magic")-XLOOKUP("The Substratals",FactionState[Faction],FactionState[Magic]))</f>
        <v/>
      </c>
      <c r="F56" s="25">
        <f>IFERROR(VALUE('Action Sheet'!I55),0)</f>
        <v/>
      </c>
      <c r="G56" s="25">
        <f>C56+D56-E56-F56</f>
        <v/>
      </c>
      <c r="H56" s="25">
        <f>'Action Sheet'!D55</f>
        <v/>
      </c>
      <c r="I56" s="25">
        <f>'Action Sheet'!E55</f>
        <v/>
      </c>
      <c r="J56" s="25">
        <f>'Action Sheet'!H55</f>
        <v/>
      </c>
      <c r="K56" s="25">
        <f>IF(H56="Attack",RANDBETWEEN(1,10),"")</f>
        <v/>
      </c>
      <c r="L56" s="25">
        <f>IF(H56="Attack", K56+IFERROR(SWITCH(XLOOKUP(I56,Catalog[Name],Catalog[AtkAttr]),"Force",XLOOKUP("The Substratals",FactionState[Faction],FactionState[Force]),"Cunning",XLOOKUP("The Substratals",FactionState[Faction],FactionState[Cunning]),"Wealth",XLOOKUP("The Substratals",FactionState[Faction],FactionState[Wealth]),"Magic",XLOOKUP("The Substratals",FactionState[Faction],FactionState[Magic]),0),0),"")</f>
        <v/>
      </c>
      <c r="M56" s="25">
        <f>IF(H56="Attack",RANDBETWEEN(1,10),"")</f>
        <v/>
      </c>
      <c r="N56" s="25">
        <f>IF(H56="Attack", M56+IFERROR(LET(def_fac, XLOOKUP(J56,Register[Asset],Register[Faction]),def_attr, XLOOKUP(I56,Catalog[Name],Catalog[DefAttr]),SWITCH(def_attr,"Force",XLOOKUP(def_fac,FactionState[Faction],FactionState[Force]),"Cunning",XLOOKUP(def_fac,FactionState[Faction],FactionState[Cunning]),"Wealth",XLOOKUP(def_fac,FactionState[Faction],FactionState[Wealth]),"Magic",XLOOKUP(def_fac,FactionState[Faction],FactionState[Magic]),0)),0),"")</f>
        <v/>
      </c>
      <c r="O56" s="25">
        <f>IF(H56&lt;&gt;"Attack","",IF(AND(ISNUMBER(L56),ISNUMBER(N56)),IF(L56&gt;N56,"Attacker","Defender"),""))</f>
        <v/>
      </c>
      <c r="P56" s="25">
        <f>IF(O56="Attacker",IFERROR(LET(nn,XLOOKUP(I56,Catalog[Name],Catalog[DmgN]),dd,XLOOKUP(I56,Catalog[Name],Catalog[DmgDie]),IF(dd=0,0,RANDBETWEEN(1,dd)+IF(nn&gt;=2,RANDBETWEEN(1,dd),0))),0),"")</f>
        <v/>
      </c>
      <c r="Q56" s="25">
        <f>IF(O56="Defender",IFERROR(LET(nn,XLOOKUP(J56,Catalog[Name],Catalog[CtrN]),dd,XLOOKUP(J56,Catalog[Name],Catalog[CtrDie]),IF(dd=0,0,RANDBETWEEN(1,dd)+IF(nn&gt;=2,RANDBETWEEN(1,dd),0))),0),"")</f>
        <v/>
      </c>
    </row>
    <row r="57">
      <c r="A57" s="23" t="n">
        <v>6</v>
      </c>
      <c r="B57" s="24" t="inlineStr">
        <is>
          <t>The Deep Janeen</t>
        </is>
      </c>
      <c r="C57" s="25">
        <f>G48</f>
        <v/>
      </c>
      <c r="D57" s="25">
        <f>CEILING(XLOOKUP("The Deep Janeen",FactionState[Faction],FactionState[Wealth])/2+XLOOKUP("The Deep Janeen",FactionState[Faction],FactionState[Force])/4+XLOOKUP("The Deep Janeen",FactionState[Faction],FactionState[Cunning])/4, 1)</f>
        <v/>
      </c>
      <c r="E57" s="25">
        <f>MAX(0,COUNTIFS(Register[Faction],"The Deep Janeen",Register[Type],"Force")-XLOOKUP("The Deep Janeen",FactionState[Faction],FactionState[Force]))+MAX(0,COUNTIFS(Register[Faction],"The Deep Janeen",Register[Type],"Cunning")-XLOOKUP("The Deep Janeen",FactionState[Faction],FactionState[Cunning]))+MAX(0,COUNTIFS(Register[Faction],"The Deep Janeen",Register[Type],"Wealth")-XLOOKUP("The Deep Janeen",FactionState[Faction],FactionState[Wealth]))+MAX(0,COUNTIFS(Register[Faction],"The Deep Janeen",Register[Type],"Magic")-XLOOKUP("The Deep Janeen",FactionState[Faction],FactionState[Magic]))</f>
        <v/>
      </c>
      <c r="F57" s="25">
        <f>IFERROR(VALUE('Action Sheet'!I56),0)</f>
        <v/>
      </c>
      <c r="G57" s="25">
        <f>C57+D57-E57-F57</f>
        <v/>
      </c>
      <c r="H57" s="25">
        <f>'Action Sheet'!D56</f>
        <v/>
      </c>
      <c r="I57" s="25">
        <f>'Action Sheet'!E56</f>
        <v/>
      </c>
      <c r="J57" s="25">
        <f>'Action Sheet'!H56</f>
        <v/>
      </c>
      <c r="K57" s="25">
        <f>IF(H57="Attack",RANDBETWEEN(1,10),"")</f>
        <v/>
      </c>
      <c r="L57" s="25">
        <f>IF(H57="Attack", K57+IFERROR(SWITCH(XLOOKUP(I57,Catalog[Name],Catalog[AtkAttr]),"Force",XLOOKUP("The Deep Janeen",FactionState[Faction],FactionState[Force]),"Cunning",XLOOKUP("The Deep Janeen",FactionState[Faction],FactionState[Cunning]),"Wealth",XLOOKUP("The Deep Janeen",FactionState[Faction],FactionState[Wealth]),"Magic",XLOOKUP("The Deep Janeen",FactionState[Faction],FactionState[Magic]),0),0),"")</f>
        <v/>
      </c>
      <c r="M57" s="25">
        <f>IF(H57="Attack",RANDBETWEEN(1,10),"")</f>
        <v/>
      </c>
      <c r="N57" s="25">
        <f>IF(H57="Attack", M57+IFERROR(LET(def_fac, XLOOKUP(J57,Register[Asset],Register[Faction]),def_attr, XLOOKUP(I57,Catalog[Name],Catalog[DefAttr]),SWITCH(def_attr,"Force",XLOOKUP(def_fac,FactionState[Faction],FactionState[Force]),"Cunning",XLOOKUP(def_fac,FactionState[Faction],FactionState[Cunning]),"Wealth",XLOOKUP(def_fac,FactionState[Faction],FactionState[Wealth]),"Magic",XLOOKUP(def_fac,FactionState[Faction],FactionState[Magic]),0)),0),"")</f>
        <v/>
      </c>
      <c r="O57" s="25">
        <f>IF(H57&lt;&gt;"Attack","",IF(AND(ISNUMBER(L57),ISNUMBER(N57)),IF(L57&gt;N57,"Attacker","Defender"),""))</f>
        <v/>
      </c>
      <c r="P57" s="25">
        <f>IF(O57="Attacker",IFERROR(LET(nn,XLOOKUP(I57,Catalog[Name],Catalog[DmgN]),dd,XLOOKUP(I57,Catalog[Name],Catalog[DmgDie]),IF(dd=0,0,RANDBETWEEN(1,dd)+IF(nn&gt;=2,RANDBETWEEN(1,dd),0))),0),"")</f>
        <v/>
      </c>
      <c r="Q57" s="25">
        <f>IF(O57="Defender",IFERROR(LET(nn,XLOOKUP(J57,Catalog[Name],Catalog[CtrN]),dd,XLOOKUP(J57,Catalog[Name],Catalog[CtrDie]),IF(dd=0,0,RANDBETWEEN(1,dd)+IF(nn&gt;=2,RANDBETWEEN(1,dd),0))),0),"")</f>
        <v/>
      </c>
    </row>
    <row r="58">
      <c r="A58" s="23" t="n">
        <v>6</v>
      </c>
      <c r="B58" s="24" t="inlineStr">
        <is>
          <t>The Olm</t>
        </is>
      </c>
      <c r="C58" s="25">
        <f>G49</f>
        <v/>
      </c>
      <c r="D58" s="25">
        <f>CEILING(XLOOKUP("The Olm",FactionState[Faction],FactionState[Wealth])/2+XLOOKUP("The Olm",FactionState[Faction],FactionState[Force])/4+XLOOKUP("The Olm",FactionState[Faction],FactionState[Cunning])/4, 1)</f>
        <v/>
      </c>
      <c r="E58" s="25">
        <f>MAX(0,COUNTIFS(Register[Faction],"The Olm",Register[Type],"Force")-XLOOKUP("The Olm",FactionState[Faction],FactionState[Force]))+MAX(0,COUNTIFS(Register[Faction],"The Olm",Register[Type],"Cunning")-XLOOKUP("The Olm",FactionState[Faction],FactionState[Cunning]))+MAX(0,COUNTIFS(Register[Faction],"The Olm",Register[Type],"Wealth")-XLOOKUP("The Olm",FactionState[Faction],FactionState[Wealth]))+MAX(0,COUNTIFS(Register[Faction],"The Olm",Register[Type],"Magic")-XLOOKUP("The Olm",FactionState[Faction],FactionState[Magic]))</f>
        <v/>
      </c>
      <c r="F58" s="25">
        <f>IFERROR(VALUE('Action Sheet'!I57),0)</f>
        <v/>
      </c>
      <c r="G58" s="25">
        <f>C58+D58-E58-F58</f>
        <v/>
      </c>
      <c r="H58" s="25">
        <f>'Action Sheet'!D57</f>
        <v/>
      </c>
      <c r="I58" s="25">
        <f>'Action Sheet'!E57</f>
        <v/>
      </c>
      <c r="J58" s="25">
        <f>'Action Sheet'!H57</f>
        <v/>
      </c>
      <c r="K58" s="25">
        <f>IF(H58="Attack",RANDBETWEEN(1,10),"")</f>
        <v/>
      </c>
      <c r="L58" s="25">
        <f>IF(H58="Attack", K58+IFERROR(SWITCH(XLOOKUP(I58,Catalog[Name],Catalog[AtkAttr]),"Force",XLOOKUP("The Olm",FactionState[Faction],FactionState[Force]),"Cunning",XLOOKUP("The Olm",FactionState[Faction],FactionState[Cunning]),"Wealth",XLOOKUP("The Olm",FactionState[Faction],FactionState[Wealth]),"Magic",XLOOKUP("The Olm",FactionState[Faction],FactionState[Magic]),0),0),"")</f>
        <v/>
      </c>
      <c r="M58" s="25">
        <f>IF(H58="Attack",RANDBETWEEN(1,10),"")</f>
        <v/>
      </c>
      <c r="N58" s="25">
        <f>IF(H58="Attack", M58+IFERROR(LET(def_fac, XLOOKUP(J58,Register[Asset],Register[Faction]),def_attr, XLOOKUP(I58,Catalog[Name],Catalog[DefAttr]),SWITCH(def_attr,"Force",XLOOKUP(def_fac,FactionState[Faction],FactionState[Force]),"Cunning",XLOOKUP(def_fac,FactionState[Faction],FactionState[Cunning]),"Wealth",XLOOKUP(def_fac,FactionState[Faction],FactionState[Wealth]),"Magic",XLOOKUP(def_fac,FactionState[Faction],FactionState[Magic]),0)),0),"")</f>
        <v/>
      </c>
      <c r="O58" s="25">
        <f>IF(H58&lt;&gt;"Attack","",IF(AND(ISNUMBER(L58),ISNUMBER(N58)),IF(L58&gt;N58,"Attacker","Defender"),""))</f>
        <v/>
      </c>
      <c r="P58" s="25">
        <f>IF(O58="Attacker",IFERROR(LET(nn,XLOOKUP(I58,Catalog[Name],Catalog[DmgN]),dd,XLOOKUP(I58,Catalog[Name],Catalog[DmgDie]),IF(dd=0,0,RANDBETWEEN(1,dd)+IF(nn&gt;=2,RANDBETWEEN(1,dd),0))),0),"")</f>
        <v/>
      </c>
      <c r="Q58" s="25">
        <f>IF(O58="Defender",IFERROR(LET(nn,XLOOKUP(J58,Catalog[Name],Catalog[CtrN]),dd,XLOOKUP(J58,Catalog[Name],Catalog[CtrDie]),IF(dd=0,0,RANDBETWEEN(1,dd)+IF(nn&gt;=2,RANDBETWEEN(1,dd),0))),0),"")</f>
        <v/>
      </c>
    </row>
    <row r="59">
      <c r="A59" s="20" t="n">
        <v>7</v>
      </c>
      <c r="B59" s="21" t="inlineStr">
        <is>
          <t>The Knotsmen</t>
        </is>
      </c>
      <c r="C59" s="22">
        <f>G50</f>
        <v/>
      </c>
      <c r="D59" s="22">
        <f>CEILING(XLOOKUP("The Knotsmen",FactionState[Faction],FactionState[Wealth])/2+XLOOKUP("The Knotsmen",FactionState[Faction],FactionState[Force])/4+XLOOKUP("The Knotsmen",FactionState[Faction],FactionState[Cunning])/4, 1)</f>
        <v/>
      </c>
      <c r="E59" s="22">
        <f>MAX(0,COUNTIFS(Register[Faction],"The Knotsmen",Register[Type],"Force")-XLOOKUP("The Knotsmen",FactionState[Faction],FactionState[Force]))+MAX(0,COUNTIFS(Register[Faction],"The Knotsmen",Register[Type],"Cunning")-XLOOKUP("The Knotsmen",FactionState[Faction],FactionState[Cunning]))+MAX(0,COUNTIFS(Register[Faction],"The Knotsmen",Register[Type],"Wealth")-XLOOKUP("The Knotsmen",FactionState[Faction],FactionState[Wealth]))+MAX(0,COUNTIFS(Register[Faction],"The Knotsmen",Register[Type],"Magic")-XLOOKUP("The Knotsmen",FactionState[Faction],FactionState[Magic]))</f>
        <v/>
      </c>
      <c r="F59" s="22">
        <f>IFERROR(VALUE('Action Sheet'!I58),0)</f>
        <v/>
      </c>
      <c r="G59" s="22">
        <f>C59+D59-E59-F59</f>
        <v/>
      </c>
      <c r="H59" s="22">
        <f>'Action Sheet'!D58</f>
        <v/>
      </c>
      <c r="I59" s="22">
        <f>'Action Sheet'!E58</f>
        <v/>
      </c>
      <c r="J59" s="22">
        <f>'Action Sheet'!H58</f>
        <v/>
      </c>
      <c r="K59" s="22">
        <f>IF(H59="Attack",RANDBETWEEN(1,10),"")</f>
        <v/>
      </c>
      <c r="L59" s="22">
        <f>IF(H59="Attack", K59+IFERROR(SWITCH(XLOOKUP(I59,Catalog[Name],Catalog[AtkAttr]),"Force",XLOOKUP("The Knotsmen",FactionState[Faction],FactionState[Force]),"Cunning",XLOOKUP("The Knotsmen",FactionState[Faction],FactionState[Cunning]),"Wealth",XLOOKUP("The Knotsmen",FactionState[Faction],FactionState[Wealth]),"Magic",XLOOKUP("The Knotsmen",FactionState[Faction],FactionState[Magic]),0),0),"")</f>
        <v/>
      </c>
      <c r="M59" s="22">
        <f>IF(H59="Attack",RANDBETWEEN(1,10),"")</f>
        <v/>
      </c>
      <c r="N59" s="22">
        <f>IF(H59="Attack", M59+IFERROR(LET(def_fac, XLOOKUP(J59,Register[Asset],Register[Faction]),def_attr, XLOOKUP(I59,Catalog[Name],Catalog[DefAttr]),SWITCH(def_attr,"Force",XLOOKUP(def_fac,FactionState[Faction],FactionState[Force]),"Cunning",XLOOKUP(def_fac,FactionState[Faction],FactionState[Cunning]),"Wealth",XLOOKUP(def_fac,FactionState[Faction],FactionState[Wealth]),"Magic",XLOOKUP(def_fac,FactionState[Faction],FactionState[Magic]),0)),0),"")</f>
        <v/>
      </c>
      <c r="O59" s="22">
        <f>IF(H59&lt;&gt;"Attack","",IF(AND(ISNUMBER(L59),ISNUMBER(N59)),IF(L59&gt;N59,"Attacker","Defender"),""))</f>
        <v/>
      </c>
      <c r="P59" s="22">
        <f>IF(O59="Attacker",IFERROR(LET(nn,XLOOKUP(I59,Catalog[Name],Catalog[DmgN]),dd,XLOOKUP(I59,Catalog[Name],Catalog[DmgDie]),IF(dd=0,0,RANDBETWEEN(1,dd)+IF(nn&gt;=2,RANDBETWEEN(1,dd),0))),0),"")</f>
        <v/>
      </c>
      <c r="Q59" s="22">
        <f>IF(O59="Defender",IFERROR(LET(nn,XLOOKUP(J59,Catalog[Name],Catalog[CtrN]),dd,XLOOKUP(J59,Catalog[Name],Catalog[CtrDie]),IF(dd=0,0,RANDBETWEEN(1,dd)+IF(nn&gt;=2,RANDBETWEEN(1,dd),0))),0),"")</f>
        <v/>
      </c>
    </row>
    <row r="60">
      <c r="A60" s="20" t="n">
        <v>7</v>
      </c>
      <c r="B60" s="21" t="inlineStr">
        <is>
          <t>The Aelf-Adal</t>
        </is>
      </c>
      <c r="C60" s="22">
        <f>G51</f>
        <v/>
      </c>
      <c r="D60" s="22">
        <f>CEILING(XLOOKUP("The Aelf-Adal",FactionState[Faction],FactionState[Wealth])/2+XLOOKUP("The Aelf-Adal",FactionState[Faction],FactionState[Force])/4+XLOOKUP("The Aelf-Adal",FactionState[Faction],FactionState[Cunning])/4, 1)</f>
        <v/>
      </c>
      <c r="E60" s="22">
        <f>MAX(0,COUNTIFS(Register[Faction],"The Aelf-Adal",Register[Type],"Force")-XLOOKUP("The Aelf-Adal",FactionState[Faction],FactionState[Force]))+MAX(0,COUNTIFS(Register[Faction],"The Aelf-Adal",Register[Type],"Cunning")-XLOOKUP("The Aelf-Adal",FactionState[Faction],FactionState[Cunning]))+MAX(0,COUNTIFS(Register[Faction],"The Aelf-Adal",Register[Type],"Wealth")-XLOOKUP("The Aelf-Adal",FactionState[Faction],FactionState[Wealth]))+MAX(0,COUNTIFS(Register[Faction],"The Aelf-Adal",Register[Type],"Magic")-XLOOKUP("The Aelf-Adal",FactionState[Faction],FactionState[Magic]))</f>
        <v/>
      </c>
      <c r="F60" s="22">
        <f>IFERROR(VALUE('Action Sheet'!I59),0)</f>
        <v/>
      </c>
      <c r="G60" s="22">
        <f>C60+D60-E60-F60</f>
        <v/>
      </c>
      <c r="H60" s="22">
        <f>'Action Sheet'!D59</f>
        <v/>
      </c>
      <c r="I60" s="22">
        <f>'Action Sheet'!E59</f>
        <v/>
      </c>
      <c r="J60" s="22">
        <f>'Action Sheet'!H59</f>
        <v/>
      </c>
      <c r="K60" s="22">
        <f>IF(H60="Attack",RANDBETWEEN(1,10),"")</f>
        <v/>
      </c>
      <c r="L60" s="22">
        <f>IF(H60="Attack", K60+IFERROR(SWITCH(XLOOKUP(I60,Catalog[Name],Catalog[AtkAttr]),"Force",XLOOKUP("The Aelf-Adal",FactionState[Faction],FactionState[Force]),"Cunning",XLOOKUP("The Aelf-Adal",FactionState[Faction],FactionState[Cunning]),"Wealth",XLOOKUP("The Aelf-Adal",FactionState[Faction],FactionState[Wealth]),"Magic",XLOOKUP("The Aelf-Adal",FactionState[Faction],FactionState[Magic]),0),0),"")</f>
        <v/>
      </c>
      <c r="M60" s="22">
        <f>IF(H60="Attack",RANDBETWEEN(1,10),"")</f>
        <v/>
      </c>
      <c r="N60" s="22">
        <f>IF(H60="Attack", M60+IFERROR(LET(def_fac, XLOOKUP(J60,Register[Asset],Register[Faction]),def_attr, XLOOKUP(I60,Catalog[Name],Catalog[DefAttr]),SWITCH(def_attr,"Force",XLOOKUP(def_fac,FactionState[Faction],FactionState[Force]),"Cunning",XLOOKUP(def_fac,FactionState[Faction],FactionState[Cunning]),"Wealth",XLOOKUP(def_fac,FactionState[Faction],FactionState[Wealth]),"Magic",XLOOKUP(def_fac,FactionState[Faction],FactionState[Magic]),0)),0),"")</f>
        <v/>
      </c>
      <c r="O60" s="22">
        <f>IF(H60&lt;&gt;"Attack","",IF(AND(ISNUMBER(L60),ISNUMBER(N60)),IF(L60&gt;N60,"Attacker","Defender"),""))</f>
        <v/>
      </c>
      <c r="P60" s="22">
        <f>IF(O60="Attacker",IFERROR(LET(nn,XLOOKUP(I60,Catalog[Name],Catalog[DmgN]),dd,XLOOKUP(I60,Catalog[Name],Catalog[DmgDie]),IF(dd=0,0,RANDBETWEEN(1,dd)+IF(nn&gt;=2,RANDBETWEEN(1,dd),0))),0),"")</f>
        <v/>
      </c>
      <c r="Q60" s="22">
        <f>IF(O60="Defender",IFERROR(LET(nn,XLOOKUP(J60,Catalog[Name],Catalog[CtrN]),dd,XLOOKUP(J60,Catalog[Name],Catalog[CtrDie]),IF(dd=0,0,RANDBETWEEN(1,dd)+IF(nn&gt;=2,RANDBETWEEN(1,dd),0))),0),"")</f>
        <v/>
      </c>
    </row>
    <row r="61">
      <c r="A61" s="20" t="n">
        <v>7</v>
      </c>
      <c r="B61" s="21" t="inlineStr">
        <is>
          <t>The Funginids</t>
        </is>
      </c>
      <c r="C61" s="22">
        <f>G52</f>
        <v/>
      </c>
      <c r="D61" s="22">
        <f>CEILING(XLOOKUP("The Funginids",FactionState[Faction],FactionState[Wealth])/2+XLOOKUP("The Funginids",FactionState[Faction],FactionState[Force])/4+XLOOKUP("The Funginids",FactionState[Faction],FactionState[Cunning])/4, 1)</f>
        <v/>
      </c>
      <c r="E61" s="22">
        <f>MAX(0,COUNTIFS(Register[Faction],"The Funginids",Register[Type],"Force")-XLOOKUP("The Funginids",FactionState[Faction],FactionState[Force]))+MAX(0,COUNTIFS(Register[Faction],"The Funginids",Register[Type],"Cunning")-XLOOKUP("The Funginids",FactionState[Faction],FactionState[Cunning]))+MAX(0,COUNTIFS(Register[Faction],"The Funginids",Register[Type],"Wealth")-XLOOKUP("The Funginids",FactionState[Faction],FactionState[Wealth]))+MAX(0,COUNTIFS(Register[Faction],"The Funginids",Register[Type],"Magic")-XLOOKUP("The Funginids",FactionState[Faction],FactionState[Magic]))</f>
        <v/>
      </c>
      <c r="F61" s="22">
        <f>IFERROR(VALUE('Action Sheet'!I60),0)</f>
        <v/>
      </c>
      <c r="G61" s="22">
        <f>C61+D61-E61-F61</f>
        <v/>
      </c>
      <c r="H61" s="22">
        <f>'Action Sheet'!D60</f>
        <v/>
      </c>
      <c r="I61" s="22">
        <f>'Action Sheet'!E60</f>
        <v/>
      </c>
      <c r="J61" s="22">
        <f>'Action Sheet'!H60</f>
        <v/>
      </c>
      <c r="K61" s="22">
        <f>IF(H61="Attack",RANDBETWEEN(1,10),"")</f>
        <v/>
      </c>
      <c r="L61" s="22">
        <f>IF(H61="Attack", K61+IFERROR(SWITCH(XLOOKUP(I61,Catalog[Name],Catalog[AtkAttr]),"Force",XLOOKUP("The Funginids",FactionState[Faction],FactionState[Force]),"Cunning",XLOOKUP("The Funginids",FactionState[Faction],FactionState[Cunning]),"Wealth",XLOOKUP("The Funginids",FactionState[Faction],FactionState[Wealth]),"Magic",XLOOKUP("The Funginids",FactionState[Faction],FactionState[Magic]),0),0),"")</f>
        <v/>
      </c>
      <c r="M61" s="22">
        <f>IF(H61="Attack",RANDBETWEEN(1,10),"")</f>
        <v/>
      </c>
      <c r="N61" s="22">
        <f>IF(H61="Attack", M61+IFERROR(LET(def_fac, XLOOKUP(J61,Register[Asset],Register[Faction]),def_attr, XLOOKUP(I61,Catalog[Name],Catalog[DefAttr]),SWITCH(def_attr,"Force",XLOOKUP(def_fac,FactionState[Faction],FactionState[Force]),"Cunning",XLOOKUP(def_fac,FactionState[Faction],FactionState[Cunning]),"Wealth",XLOOKUP(def_fac,FactionState[Faction],FactionState[Wealth]),"Magic",XLOOKUP(def_fac,FactionState[Faction],FactionState[Magic]),0)),0),"")</f>
        <v/>
      </c>
      <c r="O61" s="22">
        <f>IF(H61&lt;&gt;"Attack","",IF(AND(ISNUMBER(L61),ISNUMBER(N61)),IF(L61&gt;N61,"Attacker","Defender"),""))</f>
        <v/>
      </c>
      <c r="P61" s="22">
        <f>IF(O61="Attacker",IFERROR(LET(nn,XLOOKUP(I61,Catalog[Name],Catalog[DmgN]),dd,XLOOKUP(I61,Catalog[Name],Catalog[DmgDie]),IF(dd=0,0,RANDBETWEEN(1,dd)+IF(nn&gt;=2,RANDBETWEEN(1,dd),0))),0),"")</f>
        <v/>
      </c>
      <c r="Q61" s="22">
        <f>IF(O61="Defender",IFERROR(LET(nn,XLOOKUP(J61,Catalog[Name],Catalog[CtrN]),dd,XLOOKUP(J61,Catalog[Name],Catalog[CtrDie]),IF(dd=0,0,RANDBETWEEN(1,dd)+IF(nn&gt;=2,RANDBETWEEN(1,dd),0))),0),"")</f>
        <v/>
      </c>
    </row>
    <row r="62">
      <c r="A62" s="20" t="n">
        <v>7</v>
      </c>
      <c r="B62" s="21" t="inlineStr">
        <is>
          <t>The dErO</t>
        </is>
      </c>
      <c r="C62" s="22">
        <f>G53</f>
        <v/>
      </c>
      <c r="D62" s="22">
        <f>CEILING(XLOOKUP("The dErO",FactionState[Faction],FactionState[Wealth])/2+XLOOKUP("The dErO",FactionState[Faction],FactionState[Force])/4+XLOOKUP("The dErO",FactionState[Faction],FactionState[Cunning])/4, 1)</f>
        <v/>
      </c>
      <c r="E62" s="22">
        <f>MAX(0,COUNTIFS(Register[Faction],"The dErO",Register[Type],"Force")-XLOOKUP("The dErO",FactionState[Faction],FactionState[Force]))+MAX(0,COUNTIFS(Register[Faction],"The dErO",Register[Type],"Cunning")-XLOOKUP("The dErO",FactionState[Faction],FactionState[Cunning]))+MAX(0,COUNTIFS(Register[Faction],"The dErO",Register[Type],"Wealth")-XLOOKUP("The dErO",FactionState[Faction],FactionState[Wealth]))+MAX(0,COUNTIFS(Register[Faction],"The dErO",Register[Type],"Magic")-XLOOKUP("The dErO",FactionState[Faction],FactionState[Magic]))</f>
        <v/>
      </c>
      <c r="F62" s="22">
        <f>IFERROR(VALUE('Action Sheet'!I61),0)</f>
        <v/>
      </c>
      <c r="G62" s="22">
        <f>C62+D62-E62-F62</f>
        <v/>
      </c>
      <c r="H62" s="22">
        <f>'Action Sheet'!D61</f>
        <v/>
      </c>
      <c r="I62" s="22">
        <f>'Action Sheet'!E61</f>
        <v/>
      </c>
      <c r="J62" s="22">
        <f>'Action Sheet'!H61</f>
        <v/>
      </c>
      <c r="K62" s="22">
        <f>IF(H62="Attack",RANDBETWEEN(1,10),"")</f>
        <v/>
      </c>
      <c r="L62" s="22">
        <f>IF(H62="Attack", K62+IFERROR(SWITCH(XLOOKUP(I62,Catalog[Name],Catalog[AtkAttr]),"Force",XLOOKUP("The dErO",FactionState[Faction],FactionState[Force]),"Cunning",XLOOKUP("The dErO",FactionState[Faction],FactionState[Cunning]),"Wealth",XLOOKUP("The dErO",FactionState[Faction],FactionState[Wealth]),"Magic",XLOOKUP("The dErO",FactionState[Faction],FactionState[Magic]),0),0),"")</f>
        <v/>
      </c>
      <c r="M62" s="22">
        <f>IF(H62="Attack",RANDBETWEEN(1,10),"")</f>
        <v/>
      </c>
      <c r="N62" s="22">
        <f>IF(H62="Attack", M62+IFERROR(LET(def_fac, XLOOKUP(J62,Register[Asset],Register[Faction]),def_attr, XLOOKUP(I62,Catalog[Name],Catalog[DefAttr]),SWITCH(def_attr,"Force",XLOOKUP(def_fac,FactionState[Faction],FactionState[Force]),"Cunning",XLOOKUP(def_fac,FactionState[Faction],FactionState[Cunning]),"Wealth",XLOOKUP(def_fac,FactionState[Faction],FactionState[Wealth]),"Magic",XLOOKUP(def_fac,FactionState[Faction],FactionState[Magic]),0)),0),"")</f>
        <v/>
      </c>
      <c r="O62" s="22">
        <f>IF(H62&lt;&gt;"Attack","",IF(AND(ISNUMBER(L62),ISNUMBER(N62)),IF(L62&gt;N62,"Attacker","Defender"),""))</f>
        <v/>
      </c>
      <c r="P62" s="22">
        <f>IF(O62="Attacker",IFERROR(LET(nn,XLOOKUP(I62,Catalog[Name],Catalog[DmgN]),dd,XLOOKUP(I62,Catalog[Name],Catalog[DmgDie]),IF(dd=0,0,RANDBETWEEN(1,dd)+IF(nn&gt;=2,RANDBETWEEN(1,dd),0))),0),"")</f>
        <v/>
      </c>
      <c r="Q62" s="22">
        <f>IF(O62="Defender",IFERROR(LET(nn,XLOOKUP(J62,Catalog[Name],Catalog[CtrN]),dd,XLOOKUP(J62,Catalog[Name],Catalog[CtrDie]),IF(dd=0,0,RANDBETWEEN(1,dd)+IF(nn&gt;=2,RANDBETWEEN(1,dd),0))),0),"")</f>
        <v/>
      </c>
    </row>
    <row r="63">
      <c r="A63" s="20" t="n">
        <v>7</v>
      </c>
      <c r="B63" s="21" t="inlineStr">
        <is>
          <t>The Dvargir</t>
        </is>
      </c>
      <c r="C63" s="22">
        <f>G54</f>
        <v/>
      </c>
      <c r="D63" s="22">
        <f>CEILING(XLOOKUP("The Dvargir",FactionState[Faction],FactionState[Wealth])/2+XLOOKUP("The Dvargir",FactionState[Faction],FactionState[Force])/4+XLOOKUP("The Dvargir",FactionState[Faction],FactionState[Cunning])/4, 1)</f>
        <v/>
      </c>
      <c r="E63" s="22">
        <f>MAX(0,COUNTIFS(Register[Faction],"The Dvargir",Register[Type],"Force")-XLOOKUP("The Dvargir",FactionState[Faction],FactionState[Force]))+MAX(0,COUNTIFS(Register[Faction],"The Dvargir",Register[Type],"Cunning")-XLOOKUP("The Dvargir",FactionState[Faction],FactionState[Cunning]))+MAX(0,COUNTIFS(Register[Faction],"The Dvargir",Register[Type],"Wealth")-XLOOKUP("The Dvargir",FactionState[Faction],FactionState[Wealth]))+MAX(0,COUNTIFS(Register[Faction],"The Dvargir",Register[Type],"Magic")-XLOOKUP("The Dvargir",FactionState[Faction],FactionState[Magic]))</f>
        <v/>
      </c>
      <c r="F63" s="22">
        <f>IFERROR(VALUE('Action Sheet'!I62),0)</f>
        <v/>
      </c>
      <c r="G63" s="22">
        <f>C63+D63-E63-F63</f>
        <v/>
      </c>
      <c r="H63" s="22">
        <f>'Action Sheet'!D62</f>
        <v/>
      </c>
      <c r="I63" s="22">
        <f>'Action Sheet'!E62</f>
        <v/>
      </c>
      <c r="J63" s="22">
        <f>'Action Sheet'!H62</f>
        <v/>
      </c>
      <c r="K63" s="22">
        <f>IF(H63="Attack",RANDBETWEEN(1,10),"")</f>
        <v/>
      </c>
      <c r="L63" s="22">
        <f>IF(H63="Attack", K63+IFERROR(SWITCH(XLOOKUP(I63,Catalog[Name],Catalog[AtkAttr]),"Force",XLOOKUP("The Dvargir",FactionState[Faction],FactionState[Force]),"Cunning",XLOOKUP("The Dvargir",FactionState[Faction],FactionState[Cunning]),"Wealth",XLOOKUP("The Dvargir",FactionState[Faction],FactionState[Wealth]),"Magic",XLOOKUP("The Dvargir",FactionState[Faction],FactionState[Magic]),0),0),"")</f>
        <v/>
      </c>
      <c r="M63" s="22">
        <f>IF(H63="Attack",RANDBETWEEN(1,10),"")</f>
        <v/>
      </c>
      <c r="N63" s="22">
        <f>IF(H63="Attack", M63+IFERROR(LET(def_fac, XLOOKUP(J63,Register[Asset],Register[Faction]),def_attr, XLOOKUP(I63,Catalog[Name],Catalog[DefAttr]),SWITCH(def_attr,"Force",XLOOKUP(def_fac,FactionState[Faction],FactionState[Force]),"Cunning",XLOOKUP(def_fac,FactionState[Faction],FactionState[Cunning]),"Wealth",XLOOKUP(def_fac,FactionState[Faction],FactionState[Wealth]),"Magic",XLOOKUP(def_fac,FactionState[Faction],FactionState[Magic]),0)),0),"")</f>
        <v/>
      </c>
      <c r="O63" s="22">
        <f>IF(H63&lt;&gt;"Attack","",IF(AND(ISNUMBER(L63),ISNUMBER(N63)),IF(L63&gt;N63,"Attacker","Defender"),""))</f>
        <v/>
      </c>
      <c r="P63" s="22">
        <f>IF(O63="Attacker",IFERROR(LET(nn,XLOOKUP(I63,Catalog[Name],Catalog[DmgN]),dd,XLOOKUP(I63,Catalog[Name],Catalog[DmgDie]),IF(dd=0,0,RANDBETWEEN(1,dd)+IF(nn&gt;=2,RANDBETWEEN(1,dd),0))),0),"")</f>
        <v/>
      </c>
      <c r="Q63" s="22">
        <f>IF(O63="Defender",IFERROR(LET(nn,XLOOKUP(J63,Catalog[Name],Catalog[CtrN]),dd,XLOOKUP(J63,Catalog[Name],Catalog[CtrDie]),IF(dd=0,0,RANDBETWEEN(1,dd)+IF(nn&gt;=2,RANDBETWEEN(1,dd),0))),0),"")</f>
        <v/>
      </c>
    </row>
    <row r="64">
      <c r="A64" s="20" t="n">
        <v>7</v>
      </c>
      <c r="B64" s="21" t="inlineStr">
        <is>
          <t>The Gnonmen</t>
        </is>
      </c>
      <c r="C64" s="22">
        <f>G55</f>
        <v/>
      </c>
      <c r="D64" s="22">
        <f>CEILING(XLOOKUP("The Gnonmen",FactionState[Faction],FactionState[Wealth])/2+XLOOKUP("The Gnonmen",FactionState[Faction],FactionState[Force])/4+XLOOKUP("The Gnonmen",FactionState[Faction],FactionState[Cunning])/4, 1)</f>
        <v/>
      </c>
      <c r="E64" s="22">
        <f>MAX(0,COUNTIFS(Register[Faction],"The Gnonmen",Register[Type],"Force")-XLOOKUP("The Gnonmen",FactionState[Faction],FactionState[Force]))+MAX(0,COUNTIFS(Register[Faction],"The Gnonmen",Register[Type],"Cunning")-XLOOKUP("The Gnonmen",FactionState[Faction],FactionState[Cunning]))+MAX(0,COUNTIFS(Register[Faction],"The Gnonmen",Register[Type],"Wealth")-XLOOKUP("The Gnonmen",FactionState[Faction],FactionState[Wealth]))+MAX(0,COUNTIFS(Register[Faction],"The Gnonmen",Register[Type],"Magic")-XLOOKUP("The Gnonmen",FactionState[Faction],FactionState[Magic]))</f>
        <v/>
      </c>
      <c r="F64" s="22">
        <f>IFERROR(VALUE('Action Sheet'!I63),0)</f>
        <v/>
      </c>
      <c r="G64" s="22">
        <f>C64+D64-E64-F64</f>
        <v/>
      </c>
      <c r="H64" s="22">
        <f>'Action Sheet'!D63</f>
        <v/>
      </c>
      <c r="I64" s="22">
        <f>'Action Sheet'!E63</f>
        <v/>
      </c>
      <c r="J64" s="22">
        <f>'Action Sheet'!H63</f>
        <v/>
      </c>
      <c r="K64" s="22">
        <f>IF(H64="Attack",RANDBETWEEN(1,10),"")</f>
        <v/>
      </c>
      <c r="L64" s="22">
        <f>IF(H64="Attack", K64+IFERROR(SWITCH(XLOOKUP(I64,Catalog[Name],Catalog[AtkAttr]),"Force",XLOOKUP("The Gnonmen",FactionState[Faction],FactionState[Force]),"Cunning",XLOOKUP("The Gnonmen",FactionState[Faction],FactionState[Cunning]),"Wealth",XLOOKUP("The Gnonmen",FactionState[Faction],FactionState[Wealth]),"Magic",XLOOKUP("The Gnonmen",FactionState[Faction],FactionState[Magic]),0),0),"")</f>
        <v/>
      </c>
      <c r="M64" s="22">
        <f>IF(H64="Attack",RANDBETWEEN(1,10),"")</f>
        <v/>
      </c>
      <c r="N64" s="22">
        <f>IF(H64="Attack", M64+IFERROR(LET(def_fac, XLOOKUP(J64,Register[Asset],Register[Faction]),def_attr, XLOOKUP(I64,Catalog[Name],Catalog[DefAttr]),SWITCH(def_attr,"Force",XLOOKUP(def_fac,FactionState[Faction],FactionState[Force]),"Cunning",XLOOKUP(def_fac,FactionState[Faction],FactionState[Cunning]),"Wealth",XLOOKUP(def_fac,FactionState[Faction],FactionState[Wealth]),"Magic",XLOOKUP(def_fac,FactionState[Faction],FactionState[Magic]),0)),0),"")</f>
        <v/>
      </c>
      <c r="O64" s="22">
        <f>IF(H64&lt;&gt;"Attack","",IF(AND(ISNUMBER(L64),ISNUMBER(N64)),IF(L64&gt;N64,"Attacker","Defender"),""))</f>
        <v/>
      </c>
      <c r="P64" s="22">
        <f>IF(O64="Attacker",IFERROR(LET(nn,XLOOKUP(I64,Catalog[Name],Catalog[DmgN]),dd,XLOOKUP(I64,Catalog[Name],Catalog[DmgDie]),IF(dd=0,0,RANDBETWEEN(1,dd)+IF(nn&gt;=2,RANDBETWEEN(1,dd),0))),0),"")</f>
        <v/>
      </c>
      <c r="Q64" s="22">
        <f>IF(O64="Defender",IFERROR(LET(nn,XLOOKUP(J64,Catalog[Name],Catalog[CtrN]),dd,XLOOKUP(J64,Catalog[Name],Catalog[CtrDie]),IF(dd=0,0,RANDBETWEEN(1,dd)+IF(nn&gt;=2,RANDBETWEEN(1,dd),0))),0),"")</f>
        <v/>
      </c>
    </row>
    <row r="65">
      <c r="A65" s="20" t="n">
        <v>7</v>
      </c>
      <c r="B65" s="21" t="inlineStr">
        <is>
          <t>The Substratals</t>
        </is>
      </c>
      <c r="C65" s="22">
        <f>G56</f>
        <v/>
      </c>
      <c r="D65" s="22">
        <f>CEILING(XLOOKUP("The Substratals",FactionState[Faction],FactionState[Wealth])/2+XLOOKUP("The Substratals",FactionState[Faction],FactionState[Force])/4+XLOOKUP("The Substratals",FactionState[Faction],FactionState[Cunning])/4, 1)</f>
        <v/>
      </c>
      <c r="E65" s="22">
        <f>MAX(0,COUNTIFS(Register[Faction],"The Substratals",Register[Type],"Force")-XLOOKUP("The Substratals",FactionState[Faction],FactionState[Force]))+MAX(0,COUNTIFS(Register[Faction],"The Substratals",Register[Type],"Cunning")-XLOOKUP("The Substratals",FactionState[Faction],FactionState[Cunning]))+MAX(0,COUNTIFS(Register[Faction],"The Substratals",Register[Type],"Wealth")-XLOOKUP("The Substratals",FactionState[Faction],FactionState[Wealth]))+MAX(0,COUNTIFS(Register[Faction],"The Substratals",Register[Type],"Magic")-XLOOKUP("The Substratals",FactionState[Faction],FactionState[Magic]))</f>
        <v/>
      </c>
      <c r="F65" s="22">
        <f>IFERROR(VALUE('Action Sheet'!I64),0)</f>
        <v/>
      </c>
      <c r="G65" s="22">
        <f>C65+D65-E65-F65</f>
        <v/>
      </c>
      <c r="H65" s="22">
        <f>'Action Sheet'!D64</f>
        <v/>
      </c>
      <c r="I65" s="22">
        <f>'Action Sheet'!E64</f>
        <v/>
      </c>
      <c r="J65" s="22">
        <f>'Action Sheet'!H64</f>
        <v/>
      </c>
      <c r="K65" s="22">
        <f>IF(H65="Attack",RANDBETWEEN(1,10),"")</f>
        <v/>
      </c>
      <c r="L65" s="22">
        <f>IF(H65="Attack", K65+IFERROR(SWITCH(XLOOKUP(I65,Catalog[Name],Catalog[AtkAttr]),"Force",XLOOKUP("The Substratals",FactionState[Faction],FactionState[Force]),"Cunning",XLOOKUP("The Substratals",FactionState[Faction],FactionState[Cunning]),"Wealth",XLOOKUP("The Substratals",FactionState[Faction],FactionState[Wealth]),"Magic",XLOOKUP("The Substratals",FactionState[Faction],FactionState[Magic]),0),0),"")</f>
        <v/>
      </c>
      <c r="M65" s="22">
        <f>IF(H65="Attack",RANDBETWEEN(1,10),"")</f>
        <v/>
      </c>
      <c r="N65" s="22">
        <f>IF(H65="Attack", M65+IFERROR(LET(def_fac, XLOOKUP(J65,Register[Asset],Register[Faction]),def_attr, XLOOKUP(I65,Catalog[Name],Catalog[DefAttr]),SWITCH(def_attr,"Force",XLOOKUP(def_fac,FactionState[Faction],FactionState[Force]),"Cunning",XLOOKUP(def_fac,FactionState[Faction],FactionState[Cunning]),"Wealth",XLOOKUP(def_fac,FactionState[Faction],FactionState[Wealth]),"Magic",XLOOKUP(def_fac,FactionState[Faction],FactionState[Magic]),0)),0),"")</f>
        <v/>
      </c>
      <c r="O65" s="22">
        <f>IF(H65&lt;&gt;"Attack","",IF(AND(ISNUMBER(L65),ISNUMBER(N65)),IF(L65&gt;N65,"Attacker","Defender"),""))</f>
        <v/>
      </c>
      <c r="P65" s="22">
        <f>IF(O65="Attacker",IFERROR(LET(nn,XLOOKUP(I65,Catalog[Name],Catalog[DmgN]),dd,XLOOKUP(I65,Catalog[Name],Catalog[DmgDie]),IF(dd=0,0,RANDBETWEEN(1,dd)+IF(nn&gt;=2,RANDBETWEEN(1,dd),0))),0),"")</f>
        <v/>
      </c>
      <c r="Q65" s="22">
        <f>IF(O65="Defender",IFERROR(LET(nn,XLOOKUP(J65,Catalog[Name],Catalog[CtrN]),dd,XLOOKUP(J65,Catalog[Name],Catalog[CtrDie]),IF(dd=0,0,RANDBETWEEN(1,dd)+IF(nn&gt;=2,RANDBETWEEN(1,dd),0))),0),"")</f>
        <v/>
      </c>
    </row>
    <row r="66">
      <c r="A66" s="20" t="n">
        <v>7</v>
      </c>
      <c r="B66" s="21" t="inlineStr">
        <is>
          <t>The Deep Janeen</t>
        </is>
      </c>
      <c r="C66" s="22">
        <f>G57</f>
        <v/>
      </c>
      <c r="D66" s="22">
        <f>CEILING(XLOOKUP("The Deep Janeen",FactionState[Faction],FactionState[Wealth])/2+XLOOKUP("The Deep Janeen",FactionState[Faction],FactionState[Force])/4+XLOOKUP("The Deep Janeen",FactionState[Faction],FactionState[Cunning])/4, 1)</f>
        <v/>
      </c>
      <c r="E66" s="22">
        <f>MAX(0,COUNTIFS(Register[Faction],"The Deep Janeen",Register[Type],"Force")-XLOOKUP("The Deep Janeen",FactionState[Faction],FactionState[Force]))+MAX(0,COUNTIFS(Register[Faction],"The Deep Janeen",Register[Type],"Cunning")-XLOOKUP("The Deep Janeen",FactionState[Faction],FactionState[Cunning]))+MAX(0,COUNTIFS(Register[Faction],"The Deep Janeen",Register[Type],"Wealth")-XLOOKUP("The Deep Janeen",FactionState[Faction],FactionState[Wealth]))+MAX(0,COUNTIFS(Register[Faction],"The Deep Janeen",Register[Type],"Magic")-XLOOKUP("The Deep Janeen",FactionState[Faction],FactionState[Magic]))</f>
        <v/>
      </c>
      <c r="F66" s="22">
        <f>IFERROR(VALUE('Action Sheet'!I65),0)</f>
        <v/>
      </c>
      <c r="G66" s="22">
        <f>C66+D66-E66-F66</f>
        <v/>
      </c>
      <c r="H66" s="22">
        <f>'Action Sheet'!D65</f>
        <v/>
      </c>
      <c r="I66" s="22">
        <f>'Action Sheet'!E65</f>
        <v/>
      </c>
      <c r="J66" s="22">
        <f>'Action Sheet'!H65</f>
        <v/>
      </c>
      <c r="K66" s="22">
        <f>IF(H66="Attack",RANDBETWEEN(1,10),"")</f>
        <v/>
      </c>
      <c r="L66" s="22">
        <f>IF(H66="Attack", K66+IFERROR(SWITCH(XLOOKUP(I66,Catalog[Name],Catalog[AtkAttr]),"Force",XLOOKUP("The Deep Janeen",FactionState[Faction],FactionState[Force]),"Cunning",XLOOKUP("The Deep Janeen",FactionState[Faction],FactionState[Cunning]),"Wealth",XLOOKUP("The Deep Janeen",FactionState[Faction],FactionState[Wealth]),"Magic",XLOOKUP("The Deep Janeen",FactionState[Faction],FactionState[Magic]),0),0),"")</f>
        <v/>
      </c>
      <c r="M66" s="22">
        <f>IF(H66="Attack",RANDBETWEEN(1,10),"")</f>
        <v/>
      </c>
      <c r="N66" s="22">
        <f>IF(H66="Attack", M66+IFERROR(LET(def_fac, XLOOKUP(J66,Register[Asset],Register[Faction]),def_attr, XLOOKUP(I66,Catalog[Name],Catalog[DefAttr]),SWITCH(def_attr,"Force",XLOOKUP(def_fac,FactionState[Faction],FactionState[Force]),"Cunning",XLOOKUP(def_fac,FactionState[Faction],FactionState[Cunning]),"Wealth",XLOOKUP(def_fac,FactionState[Faction],FactionState[Wealth]),"Magic",XLOOKUP(def_fac,FactionState[Faction],FactionState[Magic]),0)),0),"")</f>
        <v/>
      </c>
      <c r="O66" s="22">
        <f>IF(H66&lt;&gt;"Attack","",IF(AND(ISNUMBER(L66),ISNUMBER(N66)),IF(L66&gt;N66,"Attacker","Defender"),""))</f>
        <v/>
      </c>
      <c r="P66" s="22">
        <f>IF(O66="Attacker",IFERROR(LET(nn,XLOOKUP(I66,Catalog[Name],Catalog[DmgN]),dd,XLOOKUP(I66,Catalog[Name],Catalog[DmgDie]),IF(dd=0,0,RANDBETWEEN(1,dd)+IF(nn&gt;=2,RANDBETWEEN(1,dd),0))),0),"")</f>
        <v/>
      </c>
      <c r="Q66" s="22">
        <f>IF(O66="Defender",IFERROR(LET(nn,XLOOKUP(J66,Catalog[Name],Catalog[CtrN]),dd,XLOOKUP(J66,Catalog[Name],Catalog[CtrDie]),IF(dd=0,0,RANDBETWEEN(1,dd)+IF(nn&gt;=2,RANDBETWEEN(1,dd),0))),0),"")</f>
        <v/>
      </c>
    </row>
    <row r="67">
      <c r="A67" s="20" t="n">
        <v>7</v>
      </c>
      <c r="B67" s="21" t="inlineStr">
        <is>
          <t>The Olm</t>
        </is>
      </c>
      <c r="C67" s="22">
        <f>G58</f>
        <v/>
      </c>
      <c r="D67" s="22">
        <f>CEILING(XLOOKUP("The Olm",FactionState[Faction],FactionState[Wealth])/2+XLOOKUP("The Olm",FactionState[Faction],FactionState[Force])/4+XLOOKUP("The Olm",FactionState[Faction],FactionState[Cunning])/4, 1)</f>
        <v/>
      </c>
      <c r="E67" s="22">
        <f>MAX(0,COUNTIFS(Register[Faction],"The Olm",Register[Type],"Force")-XLOOKUP("The Olm",FactionState[Faction],FactionState[Force]))+MAX(0,COUNTIFS(Register[Faction],"The Olm",Register[Type],"Cunning")-XLOOKUP("The Olm",FactionState[Faction],FactionState[Cunning]))+MAX(0,COUNTIFS(Register[Faction],"The Olm",Register[Type],"Wealth")-XLOOKUP("The Olm",FactionState[Faction],FactionState[Wealth]))+MAX(0,COUNTIFS(Register[Faction],"The Olm",Register[Type],"Magic")-XLOOKUP("The Olm",FactionState[Faction],FactionState[Magic]))</f>
        <v/>
      </c>
      <c r="F67" s="22">
        <f>IFERROR(VALUE('Action Sheet'!I66),0)</f>
        <v/>
      </c>
      <c r="G67" s="22">
        <f>C67+D67-E67-F67</f>
        <v/>
      </c>
      <c r="H67" s="22">
        <f>'Action Sheet'!D66</f>
        <v/>
      </c>
      <c r="I67" s="22">
        <f>'Action Sheet'!E66</f>
        <v/>
      </c>
      <c r="J67" s="22">
        <f>'Action Sheet'!H66</f>
        <v/>
      </c>
      <c r="K67" s="22">
        <f>IF(H67="Attack",RANDBETWEEN(1,10),"")</f>
        <v/>
      </c>
      <c r="L67" s="22">
        <f>IF(H67="Attack", K67+IFERROR(SWITCH(XLOOKUP(I67,Catalog[Name],Catalog[AtkAttr]),"Force",XLOOKUP("The Olm",FactionState[Faction],FactionState[Force]),"Cunning",XLOOKUP("The Olm",FactionState[Faction],FactionState[Cunning]),"Wealth",XLOOKUP("The Olm",FactionState[Faction],FactionState[Wealth]),"Magic",XLOOKUP("The Olm",FactionState[Faction],FactionState[Magic]),0),0),"")</f>
        <v/>
      </c>
      <c r="M67" s="22">
        <f>IF(H67="Attack",RANDBETWEEN(1,10),"")</f>
        <v/>
      </c>
      <c r="N67" s="22">
        <f>IF(H67="Attack", M67+IFERROR(LET(def_fac, XLOOKUP(J67,Register[Asset],Register[Faction]),def_attr, XLOOKUP(I67,Catalog[Name],Catalog[DefAttr]),SWITCH(def_attr,"Force",XLOOKUP(def_fac,FactionState[Faction],FactionState[Force]),"Cunning",XLOOKUP(def_fac,FactionState[Faction],FactionState[Cunning]),"Wealth",XLOOKUP(def_fac,FactionState[Faction],FactionState[Wealth]),"Magic",XLOOKUP(def_fac,FactionState[Faction],FactionState[Magic]),0)),0),"")</f>
        <v/>
      </c>
      <c r="O67" s="22">
        <f>IF(H67&lt;&gt;"Attack","",IF(AND(ISNUMBER(L67),ISNUMBER(N67)),IF(L67&gt;N67,"Attacker","Defender"),""))</f>
        <v/>
      </c>
      <c r="P67" s="22">
        <f>IF(O67="Attacker",IFERROR(LET(nn,XLOOKUP(I67,Catalog[Name],Catalog[DmgN]),dd,XLOOKUP(I67,Catalog[Name],Catalog[DmgDie]),IF(dd=0,0,RANDBETWEEN(1,dd)+IF(nn&gt;=2,RANDBETWEEN(1,dd),0))),0),"")</f>
        <v/>
      </c>
      <c r="Q67" s="22">
        <f>IF(O67="Defender",IFERROR(LET(nn,XLOOKUP(J67,Catalog[Name],Catalog[CtrN]),dd,XLOOKUP(J67,Catalog[Name],Catalog[CtrDie]),IF(dd=0,0,RANDBETWEEN(1,dd)+IF(nn&gt;=2,RANDBETWEEN(1,dd),0))),0),"")</f>
        <v/>
      </c>
    </row>
    <row r="68">
      <c r="A68" s="23" t="n">
        <v>8</v>
      </c>
      <c r="B68" s="24" t="inlineStr">
        <is>
          <t>The Knotsmen</t>
        </is>
      </c>
      <c r="C68" s="25">
        <f>G59</f>
        <v/>
      </c>
      <c r="D68" s="25">
        <f>CEILING(XLOOKUP("The Knotsmen",FactionState[Faction],FactionState[Wealth])/2+XLOOKUP("The Knotsmen",FactionState[Faction],FactionState[Force])/4+XLOOKUP("The Knotsmen",FactionState[Faction],FactionState[Cunning])/4, 1)</f>
        <v/>
      </c>
      <c r="E68" s="25">
        <f>MAX(0,COUNTIFS(Register[Faction],"The Knotsmen",Register[Type],"Force")-XLOOKUP("The Knotsmen",FactionState[Faction],FactionState[Force]))+MAX(0,COUNTIFS(Register[Faction],"The Knotsmen",Register[Type],"Cunning")-XLOOKUP("The Knotsmen",FactionState[Faction],FactionState[Cunning]))+MAX(0,COUNTIFS(Register[Faction],"The Knotsmen",Register[Type],"Wealth")-XLOOKUP("The Knotsmen",FactionState[Faction],FactionState[Wealth]))+MAX(0,COUNTIFS(Register[Faction],"The Knotsmen",Register[Type],"Magic")-XLOOKUP("The Knotsmen",FactionState[Faction],FactionState[Magic]))</f>
        <v/>
      </c>
      <c r="F68" s="25">
        <f>IFERROR(VALUE('Action Sheet'!I67),0)</f>
        <v/>
      </c>
      <c r="G68" s="25">
        <f>C68+D68-E68-F68</f>
        <v/>
      </c>
      <c r="H68" s="25">
        <f>'Action Sheet'!D67</f>
        <v/>
      </c>
      <c r="I68" s="25">
        <f>'Action Sheet'!E67</f>
        <v/>
      </c>
      <c r="J68" s="25">
        <f>'Action Sheet'!H67</f>
        <v/>
      </c>
      <c r="K68" s="25">
        <f>IF(H68="Attack",RANDBETWEEN(1,10),"")</f>
        <v/>
      </c>
      <c r="L68" s="25">
        <f>IF(H68="Attack", K68+IFERROR(SWITCH(XLOOKUP(I68,Catalog[Name],Catalog[AtkAttr]),"Force",XLOOKUP("The Knotsmen",FactionState[Faction],FactionState[Force]),"Cunning",XLOOKUP("The Knotsmen",FactionState[Faction],FactionState[Cunning]),"Wealth",XLOOKUP("The Knotsmen",FactionState[Faction],FactionState[Wealth]),"Magic",XLOOKUP("The Knotsmen",FactionState[Faction],FactionState[Magic]),0),0),"")</f>
        <v/>
      </c>
      <c r="M68" s="25">
        <f>IF(H68="Attack",RANDBETWEEN(1,10),"")</f>
        <v/>
      </c>
      <c r="N68" s="25">
        <f>IF(H68="Attack", M68+IFERROR(LET(def_fac, XLOOKUP(J68,Register[Asset],Register[Faction]),def_attr, XLOOKUP(I68,Catalog[Name],Catalog[DefAttr]),SWITCH(def_attr,"Force",XLOOKUP(def_fac,FactionState[Faction],FactionState[Force]),"Cunning",XLOOKUP(def_fac,FactionState[Faction],FactionState[Cunning]),"Wealth",XLOOKUP(def_fac,FactionState[Faction],FactionState[Wealth]),"Magic",XLOOKUP(def_fac,FactionState[Faction],FactionState[Magic]),0)),0),"")</f>
        <v/>
      </c>
      <c r="O68" s="25">
        <f>IF(H68&lt;&gt;"Attack","",IF(AND(ISNUMBER(L68),ISNUMBER(N68)),IF(L68&gt;N68,"Attacker","Defender"),""))</f>
        <v/>
      </c>
      <c r="P68" s="25">
        <f>IF(O68="Attacker",IFERROR(LET(nn,XLOOKUP(I68,Catalog[Name],Catalog[DmgN]),dd,XLOOKUP(I68,Catalog[Name],Catalog[DmgDie]),IF(dd=0,0,RANDBETWEEN(1,dd)+IF(nn&gt;=2,RANDBETWEEN(1,dd),0))),0),"")</f>
        <v/>
      </c>
      <c r="Q68" s="25">
        <f>IF(O68="Defender",IFERROR(LET(nn,XLOOKUP(J68,Catalog[Name],Catalog[CtrN]),dd,XLOOKUP(J68,Catalog[Name],Catalog[CtrDie]),IF(dd=0,0,RANDBETWEEN(1,dd)+IF(nn&gt;=2,RANDBETWEEN(1,dd),0))),0),"")</f>
        <v/>
      </c>
    </row>
    <row r="69">
      <c r="A69" s="23" t="n">
        <v>8</v>
      </c>
      <c r="B69" s="24" t="inlineStr">
        <is>
          <t>The Aelf-Adal</t>
        </is>
      </c>
      <c r="C69" s="25">
        <f>G60</f>
        <v/>
      </c>
      <c r="D69" s="25">
        <f>CEILING(XLOOKUP("The Aelf-Adal",FactionState[Faction],FactionState[Wealth])/2+XLOOKUP("The Aelf-Adal",FactionState[Faction],FactionState[Force])/4+XLOOKUP("The Aelf-Adal",FactionState[Faction],FactionState[Cunning])/4, 1)</f>
        <v/>
      </c>
      <c r="E69" s="25">
        <f>MAX(0,COUNTIFS(Register[Faction],"The Aelf-Adal",Register[Type],"Force")-XLOOKUP("The Aelf-Adal",FactionState[Faction],FactionState[Force]))+MAX(0,COUNTIFS(Register[Faction],"The Aelf-Adal",Register[Type],"Cunning")-XLOOKUP("The Aelf-Adal",FactionState[Faction],FactionState[Cunning]))+MAX(0,COUNTIFS(Register[Faction],"The Aelf-Adal",Register[Type],"Wealth")-XLOOKUP("The Aelf-Adal",FactionState[Faction],FactionState[Wealth]))+MAX(0,COUNTIFS(Register[Faction],"The Aelf-Adal",Register[Type],"Magic")-XLOOKUP("The Aelf-Adal",FactionState[Faction],FactionState[Magic]))</f>
        <v/>
      </c>
      <c r="F69" s="25">
        <f>IFERROR(VALUE('Action Sheet'!I68),0)</f>
        <v/>
      </c>
      <c r="G69" s="25">
        <f>C69+D69-E69-F69</f>
        <v/>
      </c>
      <c r="H69" s="25">
        <f>'Action Sheet'!D68</f>
        <v/>
      </c>
      <c r="I69" s="25">
        <f>'Action Sheet'!E68</f>
        <v/>
      </c>
      <c r="J69" s="25">
        <f>'Action Sheet'!H68</f>
        <v/>
      </c>
      <c r="K69" s="25">
        <f>IF(H69="Attack",RANDBETWEEN(1,10),"")</f>
        <v/>
      </c>
      <c r="L69" s="25">
        <f>IF(H69="Attack", K69+IFERROR(SWITCH(XLOOKUP(I69,Catalog[Name],Catalog[AtkAttr]),"Force",XLOOKUP("The Aelf-Adal",FactionState[Faction],FactionState[Force]),"Cunning",XLOOKUP("The Aelf-Adal",FactionState[Faction],FactionState[Cunning]),"Wealth",XLOOKUP("The Aelf-Adal",FactionState[Faction],FactionState[Wealth]),"Magic",XLOOKUP("The Aelf-Adal",FactionState[Faction],FactionState[Magic]),0),0),"")</f>
        <v/>
      </c>
      <c r="M69" s="25">
        <f>IF(H69="Attack",RANDBETWEEN(1,10),"")</f>
        <v/>
      </c>
      <c r="N69" s="25">
        <f>IF(H69="Attack", M69+IFERROR(LET(def_fac, XLOOKUP(J69,Register[Asset],Register[Faction]),def_attr, XLOOKUP(I69,Catalog[Name],Catalog[DefAttr]),SWITCH(def_attr,"Force",XLOOKUP(def_fac,FactionState[Faction],FactionState[Force]),"Cunning",XLOOKUP(def_fac,FactionState[Faction],FactionState[Cunning]),"Wealth",XLOOKUP(def_fac,FactionState[Faction],FactionState[Wealth]),"Magic",XLOOKUP(def_fac,FactionState[Faction],FactionState[Magic]),0)),0),"")</f>
        <v/>
      </c>
      <c r="O69" s="25">
        <f>IF(H69&lt;&gt;"Attack","",IF(AND(ISNUMBER(L69),ISNUMBER(N69)),IF(L69&gt;N69,"Attacker","Defender"),""))</f>
        <v/>
      </c>
      <c r="P69" s="25">
        <f>IF(O69="Attacker",IFERROR(LET(nn,XLOOKUP(I69,Catalog[Name],Catalog[DmgN]),dd,XLOOKUP(I69,Catalog[Name],Catalog[DmgDie]),IF(dd=0,0,RANDBETWEEN(1,dd)+IF(nn&gt;=2,RANDBETWEEN(1,dd),0))),0),"")</f>
        <v/>
      </c>
      <c r="Q69" s="25">
        <f>IF(O69="Defender",IFERROR(LET(nn,XLOOKUP(J69,Catalog[Name],Catalog[CtrN]),dd,XLOOKUP(J69,Catalog[Name],Catalog[CtrDie]),IF(dd=0,0,RANDBETWEEN(1,dd)+IF(nn&gt;=2,RANDBETWEEN(1,dd),0))),0),"")</f>
        <v/>
      </c>
    </row>
    <row r="70">
      <c r="A70" s="23" t="n">
        <v>8</v>
      </c>
      <c r="B70" s="24" t="inlineStr">
        <is>
          <t>The Funginids</t>
        </is>
      </c>
      <c r="C70" s="25">
        <f>G61</f>
        <v/>
      </c>
      <c r="D70" s="25">
        <f>CEILING(XLOOKUP("The Funginids",FactionState[Faction],FactionState[Wealth])/2+XLOOKUP("The Funginids",FactionState[Faction],FactionState[Force])/4+XLOOKUP("The Funginids",FactionState[Faction],FactionState[Cunning])/4, 1)</f>
        <v/>
      </c>
      <c r="E70" s="25">
        <f>MAX(0,COUNTIFS(Register[Faction],"The Funginids",Register[Type],"Force")-XLOOKUP("The Funginids",FactionState[Faction],FactionState[Force]))+MAX(0,COUNTIFS(Register[Faction],"The Funginids",Register[Type],"Cunning")-XLOOKUP("The Funginids",FactionState[Faction],FactionState[Cunning]))+MAX(0,COUNTIFS(Register[Faction],"The Funginids",Register[Type],"Wealth")-XLOOKUP("The Funginids",FactionState[Faction],FactionState[Wealth]))+MAX(0,COUNTIFS(Register[Faction],"The Funginids",Register[Type],"Magic")-XLOOKUP("The Funginids",FactionState[Faction],FactionState[Magic]))</f>
        <v/>
      </c>
      <c r="F70" s="25">
        <f>IFERROR(VALUE('Action Sheet'!I69),0)</f>
        <v/>
      </c>
      <c r="G70" s="25">
        <f>C70+D70-E70-F70</f>
        <v/>
      </c>
      <c r="H70" s="25">
        <f>'Action Sheet'!D69</f>
        <v/>
      </c>
      <c r="I70" s="25">
        <f>'Action Sheet'!E69</f>
        <v/>
      </c>
      <c r="J70" s="25">
        <f>'Action Sheet'!H69</f>
        <v/>
      </c>
      <c r="K70" s="25">
        <f>IF(H70="Attack",RANDBETWEEN(1,10),"")</f>
        <v/>
      </c>
      <c r="L70" s="25">
        <f>IF(H70="Attack", K70+IFERROR(SWITCH(XLOOKUP(I70,Catalog[Name],Catalog[AtkAttr]),"Force",XLOOKUP("The Funginids",FactionState[Faction],FactionState[Force]),"Cunning",XLOOKUP("The Funginids",FactionState[Faction],FactionState[Cunning]),"Wealth",XLOOKUP("The Funginids",FactionState[Faction],FactionState[Wealth]),"Magic",XLOOKUP("The Funginids",FactionState[Faction],FactionState[Magic]),0),0),"")</f>
        <v/>
      </c>
      <c r="M70" s="25">
        <f>IF(H70="Attack",RANDBETWEEN(1,10),"")</f>
        <v/>
      </c>
      <c r="N70" s="25">
        <f>IF(H70="Attack", M70+IFERROR(LET(def_fac, XLOOKUP(J70,Register[Asset],Register[Faction]),def_attr, XLOOKUP(I70,Catalog[Name],Catalog[DefAttr]),SWITCH(def_attr,"Force",XLOOKUP(def_fac,FactionState[Faction],FactionState[Force]),"Cunning",XLOOKUP(def_fac,FactionState[Faction],FactionState[Cunning]),"Wealth",XLOOKUP(def_fac,FactionState[Faction],FactionState[Wealth]),"Magic",XLOOKUP(def_fac,FactionState[Faction],FactionState[Magic]),0)),0),"")</f>
        <v/>
      </c>
      <c r="O70" s="25">
        <f>IF(H70&lt;&gt;"Attack","",IF(AND(ISNUMBER(L70),ISNUMBER(N70)),IF(L70&gt;N70,"Attacker","Defender"),""))</f>
        <v/>
      </c>
      <c r="P70" s="25">
        <f>IF(O70="Attacker",IFERROR(LET(nn,XLOOKUP(I70,Catalog[Name],Catalog[DmgN]),dd,XLOOKUP(I70,Catalog[Name],Catalog[DmgDie]),IF(dd=0,0,RANDBETWEEN(1,dd)+IF(nn&gt;=2,RANDBETWEEN(1,dd),0))),0),"")</f>
        <v/>
      </c>
      <c r="Q70" s="25">
        <f>IF(O70="Defender",IFERROR(LET(nn,XLOOKUP(J70,Catalog[Name],Catalog[CtrN]),dd,XLOOKUP(J70,Catalog[Name],Catalog[CtrDie]),IF(dd=0,0,RANDBETWEEN(1,dd)+IF(nn&gt;=2,RANDBETWEEN(1,dd),0))),0),"")</f>
        <v/>
      </c>
    </row>
    <row r="71">
      <c r="A71" s="23" t="n">
        <v>8</v>
      </c>
      <c r="B71" s="24" t="inlineStr">
        <is>
          <t>The dErO</t>
        </is>
      </c>
      <c r="C71" s="25">
        <f>G62</f>
        <v/>
      </c>
      <c r="D71" s="25">
        <f>CEILING(XLOOKUP("The dErO",FactionState[Faction],FactionState[Wealth])/2+XLOOKUP("The dErO",FactionState[Faction],FactionState[Force])/4+XLOOKUP("The dErO",FactionState[Faction],FactionState[Cunning])/4, 1)</f>
        <v/>
      </c>
      <c r="E71" s="25">
        <f>MAX(0,COUNTIFS(Register[Faction],"The dErO",Register[Type],"Force")-XLOOKUP("The dErO",FactionState[Faction],FactionState[Force]))+MAX(0,COUNTIFS(Register[Faction],"The dErO",Register[Type],"Cunning")-XLOOKUP("The dErO",FactionState[Faction],FactionState[Cunning]))+MAX(0,COUNTIFS(Register[Faction],"The dErO",Register[Type],"Wealth")-XLOOKUP("The dErO",FactionState[Faction],FactionState[Wealth]))+MAX(0,COUNTIFS(Register[Faction],"The dErO",Register[Type],"Magic")-XLOOKUP("The dErO",FactionState[Faction],FactionState[Magic]))</f>
        <v/>
      </c>
      <c r="F71" s="25">
        <f>IFERROR(VALUE('Action Sheet'!I70),0)</f>
        <v/>
      </c>
      <c r="G71" s="25">
        <f>C71+D71-E71-F71</f>
        <v/>
      </c>
      <c r="H71" s="25">
        <f>'Action Sheet'!D70</f>
        <v/>
      </c>
      <c r="I71" s="25">
        <f>'Action Sheet'!E70</f>
        <v/>
      </c>
      <c r="J71" s="25">
        <f>'Action Sheet'!H70</f>
        <v/>
      </c>
      <c r="K71" s="25">
        <f>IF(H71="Attack",RANDBETWEEN(1,10),"")</f>
        <v/>
      </c>
      <c r="L71" s="25">
        <f>IF(H71="Attack", K71+IFERROR(SWITCH(XLOOKUP(I71,Catalog[Name],Catalog[AtkAttr]),"Force",XLOOKUP("The dErO",FactionState[Faction],FactionState[Force]),"Cunning",XLOOKUP("The dErO",FactionState[Faction],FactionState[Cunning]),"Wealth",XLOOKUP("The dErO",FactionState[Faction],FactionState[Wealth]),"Magic",XLOOKUP("The dErO",FactionState[Faction],FactionState[Magic]),0),0),"")</f>
        <v/>
      </c>
      <c r="M71" s="25">
        <f>IF(H71="Attack",RANDBETWEEN(1,10),"")</f>
        <v/>
      </c>
      <c r="N71" s="25">
        <f>IF(H71="Attack", M71+IFERROR(LET(def_fac, XLOOKUP(J71,Register[Asset],Register[Faction]),def_attr, XLOOKUP(I71,Catalog[Name],Catalog[DefAttr]),SWITCH(def_attr,"Force",XLOOKUP(def_fac,FactionState[Faction],FactionState[Force]),"Cunning",XLOOKUP(def_fac,FactionState[Faction],FactionState[Cunning]),"Wealth",XLOOKUP(def_fac,FactionState[Faction],FactionState[Wealth]),"Magic",XLOOKUP(def_fac,FactionState[Faction],FactionState[Magic]),0)),0),"")</f>
        <v/>
      </c>
      <c r="O71" s="25">
        <f>IF(H71&lt;&gt;"Attack","",IF(AND(ISNUMBER(L71),ISNUMBER(N71)),IF(L71&gt;N71,"Attacker","Defender"),""))</f>
        <v/>
      </c>
      <c r="P71" s="25">
        <f>IF(O71="Attacker",IFERROR(LET(nn,XLOOKUP(I71,Catalog[Name],Catalog[DmgN]),dd,XLOOKUP(I71,Catalog[Name],Catalog[DmgDie]),IF(dd=0,0,RANDBETWEEN(1,dd)+IF(nn&gt;=2,RANDBETWEEN(1,dd),0))),0),"")</f>
        <v/>
      </c>
      <c r="Q71" s="25">
        <f>IF(O71="Defender",IFERROR(LET(nn,XLOOKUP(J71,Catalog[Name],Catalog[CtrN]),dd,XLOOKUP(J71,Catalog[Name],Catalog[CtrDie]),IF(dd=0,0,RANDBETWEEN(1,dd)+IF(nn&gt;=2,RANDBETWEEN(1,dd),0))),0),"")</f>
        <v/>
      </c>
    </row>
    <row r="72">
      <c r="A72" s="23" t="n">
        <v>8</v>
      </c>
      <c r="B72" s="24" t="inlineStr">
        <is>
          <t>The Dvargir</t>
        </is>
      </c>
      <c r="C72" s="25">
        <f>G63</f>
        <v/>
      </c>
      <c r="D72" s="25">
        <f>CEILING(XLOOKUP("The Dvargir",FactionState[Faction],FactionState[Wealth])/2+XLOOKUP("The Dvargir",FactionState[Faction],FactionState[Force])/4+XLOOKUP("The Dvargir",FactionState[Faction],FactionState[Cunning])/4, 1)</f>
        <v/>
      </c>
      <c r="E72" s="25">
        <f>MAX(0,COUNTIFS(Register[Faction],"The Dvargir",Register[Type],"Force")-XLOOKUP("The Dvargir",FactionState[Faction],FactionState[Force]))+MAX(0,COUNTIFS(Register[Faction],"The Dvargir",Register[Type],"Cunning")-XLOOKUP("The Dvargir",FactionState[Faction],FactionState[Cunning]))+MAX(0,COUNTIFS(Register[Faction],"The Dvargir",Register[Type],"Wealth")-XLOOKUP("The Dvargir",FactionState[Faction],FactionState[Wealth]))+MAX(0,COUNTIFS(Register[Faction],"The Dvargir",Register[Type],"Magic")-XLOOKUP("The Dvargir",FactionState[Faction],FactionState[Magic]))</f>
        <v/>
      </c>
      <c r="F72" s="25">
        <f>IFERROR(VALUE('Action Sheet'!I71),0)</f>
        <v/>
      </c>
      <c r="G72" s="25">
        <f>C72+D72-E72-F72</f>
        <v/>
      </c>
      <c r="H72" s="25">
        <f>'Action Sheet'!D71</f>
        <v/>
      </c>
      <c r="I72" s="25">
        <f>'Action Sheet'!E71</f>
        <v/>
      </c>
      <c r="J72" s="25">
        <f>'Action Sheet'!H71</f>
        <v/>
      </c>
      <c r="K72" s="25">
        <f>IF(H72="Attack",RANDBETWEEN(1,10),"")</f>
        <v/>
      </c>
      <c r="L72" s="25">
        <f>IF(H72="Attack", K72+IFERROR(SWITCH(XLOOKUP(I72,Catalog[Name],Catalog[AtkAttr]),"Force",XLOOKUP("The Dvargir",FactionState[Faction],FactionState[Force]),"Cunning",XLOOKUP("The Dvargir",FactionState[Faction],FactionState[Cunning]),"Wealth",XLOOKUP("The Dvargir",FactionState[Faction],FactionState[Wealth]),"Magic",XLOOKUP("The Dvargir",FactionState[Faction],FactionState[Magic]),0),0),"")</f>
        <v/>
      </c>
      <c r="M72" s="25">
        <f>IF(H72="Attack",RANDBETWEEN(1,10),"")</f>
        <v/>
      </c>
      <c r="N72" s="25">
        <f>IF(H72="Attack", M72+IFERROR(LET(def_fac, XLOOKUP(J72,Register[Asset],Register[Faction]),def_attr, XLOOKUP(I72,Catalog[Name],Catalog[DefAttr]),SWITCH(def_attr,"Force",XLOOKUP(def_fac,FactionState[Faction],FactionState[Force]),"Cunning",XLOOKUP(def_fac,FactionState[Faction],FactionState[Cunning]),"Wealth",XLOOKUP(def_fac,FactionState[Faction],FactionState[Wealth]),"Magic",XLOOKUP(def_fac,FactionState[Faction],FactionState[Magic]),0)),0),"")</f>
        <v/>
      </c>
      <c r="O72" s="25">
        <f>IF(H72&lt;&gt;"Attack","",IF(AND(ISNUMBER(L72),ISNUMBER(N72)),IF(L72&gt;N72,"Attacker","Defender"),""))</f>
        <v/>
      </c>
      <c r="P72" s="25">
        <f>IF(O72="Attacker",IFERROR(LET(nn,XLOOKUP(I72,Catalog[Name],Catalog[DmgN]),dd,XLOOKUP(I72,Catalog[Name],Catalog[DmgDie]),IF(dd=0,0,RANDBETWEEN(1,dd)+IF(nn&gt;=2,RANDBETWEEN(1,dd),0))),0),"")</f>
        <v/>
      </c>
      <c r="Q72" s="25">
        <f>IF(O72="Defender",IFERROR(LET(nn,XLOOKUP(J72,Catalog[Name],Catalog[CtrN]),dd,XLOOKUP(J72,Catalog[Name],Catalog[CtrDie]),IF(dd=0,0,RANDBETWEEN(1,dd)+IF(nn&gt;=2,RANDBETWEEN(1,dd),0))),0),"")</f>
        <v/>
      </c>
    </row>
    <row r="73">
      <c r="A73" s="23" t="n">
        <v>8</v>
      </c>
      <c r="B73" s="24" t="inlineStr">
        <is>
          <t>The Gnonmen</t>
        </is>
      </c>
      <c r="C73" s="25">
        <f>G64</f>
        <v/>
      </c>
      <c r="D73" s="25">
        <f>CEILING(XLOOKUP("The Gnonmen",FactionState[Faction],FactionState[Wealth])/2+XLOOKUP("The Gnonmen",FactionState[Faction],FactionState[Force])/4+XLOOKUP("The Gnonmen",FactionState[Faction],FactionState[Cunning])/4, 1)</f>
        <v/>
      </c>
      <c r="E73" s="25">
        <f>MAX(0,COUNTIFS(Register[Faction],"The Gnonmen",Register[Type],"Force")-XLOOKUP("The Gnonmen",FactionState[Faction],FactionState[Force]))+MAX(0,COUNTIFS(Register[Faction],"The Gnonmen",Register[Type],"Cunning")-XLOOKUP("The Gnonmen",FactionState[Faction],FactionState[Cunning]))+MAX(0,COUNTIFS(Register[Faction],"The Gnonmen",Register[Type],"Wealth")-XLOOKUP("The Gnonmen",FactionState[Faction],FactionState[Wealth]))+MAX(0,COUNTIFS(Register[Faction],"The Gnonmen",Register[Type],"Magic")-XLOOKUP("The Gnonmen",FactionState[Faction],FactionState[Magic]))</f>
        <v/>
      </c>
      <c r="F73" s="25">
        <f>IFERROR(VALUE('Action Sheet'!I72),0)</f>
        <v/>
      </c>
      <c r="G73" s="25">
        <f>C73+D73-E73-F73</f>
        <v/>
      </c>
      <c r="H73" s="25">
        <f>'Action Sheet'!D72</f>
        <v/>
      </c>
      <c r="I73" s="25">
        <f>'Action Sheet'!E72</f>
        <v/>
      </c>
      <c r="J73" s="25">
        <f>'Action Sheet'!H72</f>
        <v/>
      </c>
      <c r="K73" s="25">
        <f>IF(H73="Attack",RANDBETWEEN(1,10),"")</f>
        <v/>
      </c>
      <c r="L73" s="25">
        <f>IF(H73="Attack", K73+IFERROR(SWITCH(XLOOKUP(I73,Catalog[Name],Catalog[AtkAttr]),"Force",XLOOKUP("The Gnonmen",FactionState[Faction],FactionState[Force]),"Cunning",XLOOKUP("The Gnonmen",FactionState[Faction],FactionState[Cunning]),"Wealth",XLOOKUP("The Gnonmen",FactionState[Faction],FactionState[Wealth]),"Magic",XLOOKUP("The Gnonmen",FactionState[Faction],FactionState[Magic]),0),0),"")</f>
        <v/>
      </c>
      <c r="M73" s="25">
        <f>IF(H73="Attack",RANDBETWEEN(1,10),"")</f>
        <v/>
      </c>
      <c r="N73" s="25">
        <f>IF(H73="Attack", M73+IFERROR(LET(def_fac, XLOOKUP(J73,Register[Asset],Register[Faction]),def_attr, XLOOKUP(I73,Catalog[Name],Catalog[DefAttr]),SWITCH(def_attr,"Force",XLOOKUP(def_fac,FactionState[Faction],FactionState[Force]),"Cunning",XLOOKUP(def_fac,FactionState[Faction],FactionState[Cunning]),"Wealth",XLOOKUP(def_fac,FactionState[Faction],FactionState[Wealth]),"Magic",XLOOKUP(def_fac,FactionState[Faction],FactionState[Magic]),0)),0),"")</f>
        <v/>
      </c>
      <c r="O73" s="25">
        <f>IF(H73&lt;&gt;"Attack","",IF(AND(ISNUMBER(L73),ISNUMBER(N73)),IF(L73&gt;N73,"Attacker","Defender"),""))</f>
        <v/>
      </c>
      <c r="P73" s="25">
        <f>IF(O73="Attacker",IFERROR(LET(nn,XLOOKUP(I73,Catalog[Name],Catalog[DmgN]),dd,XLOOKUP(I73,Catalog[Name],Catalog[DmgDie]),IF(dd=0,0,RANDBETWEEN(1,dd)+IF(nn&gt;=2,RANDBETWEEN(1,dd),0))),0),"")</f>
        <v/>
      </c>
      <c r="Q73" s="25">
        <f>IF(O73="Defender",IFERROR(LET(nn,XLOOKUP(J73,Catalog[Name],Catalog[CtrN]),dd,XLOOKUP(J73,Catalog[Name],Catalog[CtrDie]),IF(dd=0,0,RANDBETWEEN(1,dd)+IF(nn&gt;=2,RANDBETWEEN(1,dd),0))),0),"")</f>
        <v/>
      </c>
    </row>
    <row r="74">
      <c r="A74" s="23" t="n">
        <v>8</v>
      </c>
      <c r="B74" s="24" t="inlineStr">
        <is>
          <t>The Substratals</t>
        </is>
      </c>
      <c r="C74" s="25">
        <f>G65</f>
        <v/>
      </c>
      <c r="D74" s="25">
        <f>CEILING(XLOOKUP("The Substratals",FactionState[Faction],FactionState[Wealth])/2+XLOOKUP("The Substratals",FactionState[Faction],FactionState[Force])/4+XLOOKUP("The Substratals",FactionState[Faction],FactionState[Cunning])/4, 1)</f>
        <v/>
      </c>
      <c r="E74" s="25">
        <f>MAX(0,COUNTIFS(Register[Faction],"The Substratals",Register[Type],"Force")-XLOOKUP("The Substratals",FactionState[Faction],FactionState[Force]))+MAX(0,COUNTIFS(Register[Faction],"The Substratals",Register[Type],"Cunning")-XLOOKUP("The Substratals",FactionState[Faction],FactionState[Cunning]))+MAX(0,COUNTIFS(Register[Faction],"The Substratals",Register[Type],"Wealth")-XLOOKUP("The Substratals",FactionState[Faction],FactionState[Wealth]))+MAX(0,COUNTIFS(Register[Faction],"The Substratals",Register[Type],"Magic")-XLOOKUP("The Substratals",FactionState[Faction],FactionState[Magic]))</f>
        <v/>
      </c>
      <c r="F74" s="25">
        <f>IFERROR(VALUE('Action Sheet'!I73),0)</f>
        <v/>
      </c>
      <c r="G74" s="25">
        <f>C74+D74-E74-F74</f>
        <v/>
      </c>
      <c r="H74" s="25">
        <f>'Action Sheet'!D73</f>
        <v/>
      </c>
      <c r="I74" s="25">
        <f>'Action Sheet'!E73</f>
        <v/>
      </c>
      <c r="J74" s="25">
        <f>'Action Sheet'!H73</f>
        <v/>
      </c>
      <c r="K74" s="25">
        <f>IF(H74="Attack",RANDBETWEEN(1,10),"")</f>
        <v/>
      </c>
      <c r="L74" s="25">
        <f>IF(H74="Attack", K74+IFERROR(SWITCH(XLOOKUP(I74,Catalog[Name],Catalog[AtkAttr]),"Force",XLOOKUP("The Substratals",FactionState[Faction],FactionState[Force]),"Cunning",XLOOKUP("The Substratals",FactionState[Faction],FactionState[Cunning]),"Wealth",XLOOKUP("The Substratals",FactionState[Faction],FactionState[Wealth]),"Magic",XLOOKUP("The Substratals",FactionState[Faction],FactionState[Magic]),0),0),"")</f>
        <v/>
      </c>
      <c r="M74" s="25">
        <f>IF(H74="Attack",RANDBETWEEN(1,10),"")</f>
        <v/>
      </c>
      <c r="N74" s="25">
        <f>IF(H74="Attack", M74+IFERROR(LET(def_fac, XLOOKUP(J74,Register[Asset],Register[Faction]),def_attr, XLOOKUP(I74,Catalog[Name],Catalog[DefAttr]),SWITCH(def_attr,"Force",XLOOKUP(def_fac,FactionState[Faction],FactionState[Force]),"Cunning",XLOOKUP(def_fac,FactionState[Faction],FactionState[Cunning]),"Wealth",XLOOKUP(def_fac,FactionState[Faction],FactionState[Wealth]),"Magic",XLOOKUP(def_fac,FactionState[Faction],FactionState[Magic]),0)),0),"")</f>
        <v/>
      </c>
      <c r="O74" s="25">
        <f>IF(H74&lt;&gt;"Attack","",IF(AND(ISNUMBER(L74),ISNUMBER(N74)),IF(L74&gt;N74,"Attacker","Defender"),""))</f>
        <v/>
      </c>
      <c r="P74" s="25">
        <f>IF(O74="Attacker",IFERROR(LET(nn,XLOOKUP(I74,Catalog[Name],Catalog[DmgN]),dd,XLOOKUP(I74,Catalog[Name],Catalog[DmgDie]),IF(dd=0,0,RANDBETWEEN(1,dd)+IF(nn&gt;=2,RANDBETWEEN(1,dd),0))),0),"")</f>
        <v/>
      </c>
      <c r="Q74" s="25">
        <f>IF(O74="Defender",IFERROR(LET(nn,XLOOKUP(J74,Catalog[Name],Catalog[CtrN]),dd,XLOOKUP(J74,Catalog[Name],Catalog[CtrDie]),IF(dd=0,0,RANDBETWEEN(1,dd)+IF(nn&gt;=2,RANDBETWEEN(1,dd),0))),0),"")</f>
        <v/>
      </c>
    </row>
    <row r="75">
      <c r="A75" s="23" t="n">
        <v>8</v>
      </c>
      <c r="B75" s="24" t="inlineStr">
        <is>
          <t>The Deep Janeen</t>
        </is>
      </c>
      <c r="C75" s="25">
        <f>G66</f>
        <v/>
      </c>
      <c r="D75" s="25">
        <f>CEILING(XLOOKUP("The Deep Janeen",FactionState[Faction],FactionState[Wealth])/2+XLOOKUP("The Deep Janeen",FactionState[Faction],FactionState[Force])/4+XLOOKUP("The Deep Janeen",FactionState[Faction],FactionState[Cunning])/4, 1)</f>
        <v/>
      </c>
      <c r="E75" s="25">
        <f>MAX(0,COUNTIFS(Register[Faction],"The Deep Janeen",Register[Type],"Force")-XLOOKUP("The Deep Janeen",FactionState[Faction],FactionState[Force]))+MAX(0,COUNTIFS(Register[Faction],"The Deep Janeen",Register[Type],"Cunning")-XLOOKUP("The Deep Janeen",FactionState[Faction],FactionState[Cunning]))+MAX(0,COUNTIFS(Register[Faction],"The Deep Janeen",Register[Type],"Wealth")-XLOOKUP("The Deep Janeen",FactionState[Faction],FactionState[Wealth]))+MAX(0,COUNTIFS(Register[Faction],"The Deep Janeen",Register[Type],"Magic")-XLOOKUP("The Deep Janeen",FactionState[Faction],FactionState[Magic]))</f>
        <v/>
      </c>
      <c r="F75" s="25">
        <f>IFERROR(VALUE('Action Sheet'!I74),0)</f>
        <v/>
      </c>
      <c r="G75" s="25">
        <f>C75+D75-E75-F75</f>
        <v/>
      </c>
      <c r="H75" s="25">
        <f>'Action Sheet'!D74</f>
        <v/>
      </c>
      <c r="I75" s="25">
        <f>'Action Sheet'!E74</f>
        <v/>
      </c>
      <c r="J75" s="25">
        <f>'Action Sheet'!H74</f>
        <v/>
      </c>
      <c r="K75" s="25">
        <f>IF(H75="Attack",RANDBETWEEN(1,10),"")</f>
        <v/>
      </c>
      <c r="L75" s="25">
        <f>IF(H75="Attack", K75+IFERROR(SWITCH(XLOOKUP(I75,Catalog[Name],Catalog[AtkAttr]),"Force",XLOOKUP("The Deep Janeen",FactionState[Faction],FactionState[Force]),"Cunning",XLOOKUP("The Deep Janeen",FactionState[Faction],FactionState[Cunning]),"Wealth",XLOOKUP("The Deep Janeen",FactionState[Faction],FactionState[Wealth]),"Magic",XLOOKUP("The Deep Janeen",FactionState[Faction],FactionState[Magic]),0),0),"")</f>
        <v/>
      </c>
      <c r="M75" s="25">
        <f>IF(H75="Attack",RANDBETWEEN(1,10),"")</f>
        <v/>
      </c>
      <c r="N75" s="25">
        <f>IF(H75="Attack", M75+IFERROR(LET(def_fac, XLOOKUP(J75,Register[Asset],Register[Faction]),def_attr, XLOOKUP(I75,Catalog[Name],Catalog[DefAttr]),SWITCH(def_attr,"Force",XLOOKUP(def_fac,FactionState[Faction],FactionState[Force]),"Cunning",XLOOKUP(def_fac,FactionState[Faction],FactionState[Cunning]),"Wealth",XLOOKUP(def_fac,FactionState[Faction],FactionState[Wealth]),"Magic",XLOOKUP(def_fac,FactionState[Faction],FactionState[Magic]),0)),0),"")</f>
        <v/>
      </c>
      <c r="O75" s="25">
        <f>IF(H75&lt;&gt;"Attack","",IF(AND(ISNUMBER(L75),ISNUMBER(N75)),IF(L75&gt;N75,"Attacker","Defender"),""))</f>
        <v/>
      </c>
      <c r="P75" s="25">
        <f>IF(O75="Attacker",IFERROR(LET(nn,XLOOKUP(I75,Catalog[Name],Catalog[DmgN]),dd,XLOOKUP(I75,Catalog[Name],Catalog[DmgDie]),IF(dd=0,0,RANDBETWEEN(1,dd)+IF(nn&gt;=2,RANDBETWEEN(1,dd),0))),0),"")</f>
        <v/>
      </c>
      <c r="Q75" s="25">
        <f>IF(O75="Defender",IFERROR(LET(nn,XLOOKUP(J75,Catalog[Name],Catalog[CtrN]),dd,XLOOKUP(J75,Catalog[Name],Catalog[CtrDie]),IF(dd=0,0,RANDBETWEEN(1,dd)+IF(nn&gt;=2,RANDBETWEEN(1,dd),0))),0),"")</f>
        <v/>
      </c>
    </row>
    <row r="76">
      <c r="A76" s="23" t="n">
        <v>8</v>
      </c>
      <c r="B76" s="24" t="inlineStr">
        <is>
          <t>The Olm</t>
        </is>
      </c>
      <c r="C76" s="25">
        <f>G67</f>
        <v/>
      </c>
      <c r="D76" s="25">
        <f>CEILING(XLOOKUP("The Olm",FactionState[Faction],FactionState[Wealth])/2+XLOOKUP("The Olm",FactionState[Faction],FactionState[Force])/4+XLOOKUP("The Olm",FactionState[Faction],FactionState[Cunning])/4, 1)</f>
        <v/>
      </c>
      <c r="E76" s="25">
        <f>MAX(0,COUNTIFS(Register[Faction],"The Olm",Register[Type],"Force")-XLOOKUP("The Olm",FactionState[Faction],FactionState[Force]))+MAX(0,COUNTIFS(Register[Faction],"The Olm",Register[Type],"Cunning")-XLOOKUP("The Olm",FactionState[Faction],FactionState[Cunning]))+MAX(0,COUNTIFS(Register[Faction],"The Olm",Register[Type],"Wealth")-XLOOKUP("The Olm",FactionState[Faction],FactionState[Wealth]))+MAX(0,COUNTIFS(Register[Faction],"The Olm",Register[Type],"Magic")-XLOOKUP("The Olm",FactionState[Faction],FactionState[Magic]))</f>
        <v/>
      </c>
      <c r="F76" s="25">
        <f>IFERROR(VALUE('Action Sheet'!I75),0)</f>
        <v/>
      </c>
      <c r="G76" s="25">
        <f>C76+D76-E76-F76</f>
        <v/>
      </c>
      <c r="H76" s="25">
        <f>'Action Sheet'!D75</f>
        <v/>
      </c>
      <c r="I76" s="25">
        <f>'Action Sheet'!E75</f>
        <v/>
      </c>
      <c r="J76" s="25">
        <f>'Action Sheet'!H75</f>
        <v/>
      </c>
      <c r="K76" s="25">
        <f>IF(H76="Attack",RANDBETWEEN(1,10),"")</f>
        <v/>
      </c>
      <c r="L76" s="25">
        <f>IF(H76="Attack", K76+IFERROR(SWITCH(XLOOKUP(I76,Catalog[Name],Catalog[AtkAttr]),"Force",XLOOKUP("The Olm",FactionState[Faction],FactionState[Force]),"Cunning",XLOOKUP("The Olm",FactionState[Faction],FactionState[Cunning]),"Wealth",XLOOKUP("The Olm",FactionState[Faction],FactionState[Wealth]),"Magic",XLOOKUP("The Olm",FactionState[Faction],FactionState[Magic]),0),0),"")</f>
        <v/>
      </c>
      <c r="M76" s="25">
        <f>IF(H76="Attack",RANDBETWEEN(1,10),"")</f>
        <v/>
      </c>
      <c r="N76" s="25">
        <f>IF(H76="Attack", M76+IFERROR(LET(def_fac, XLOOKUP(J76,Register[Asset],Register[Faction]),def_attr, XLOOKUP(I76,Catalog[Name],Catalog[DefAttr]),SWITCH(def_attr,"Force",XLOOKUP(def_fac,FactionState[Faction],FactionState[Force]),"Cunning",XLOOKUP(def_fac,FactionState[Faction],FactionState[Cunning]),"Wealth",XLOOKUP(def_fac,FactionState[Faction],FactionState[Wealth]),"Magic",XLOOKUP(def_fac,FactionState[Faction],FactionState[Magic]),0)),0),"")</f>
        <v/>
      </c>
      <c r="O76" s="25">
        <f>IF(H76&lt;&gt;"Attack","",IF(AND(ISNUMBER(L76),ISNUMBER(N76)),IF(L76&gt;N76,"Attacker","Defender"),""))</f>
        <v/>
      </c>
      <c r="P76" s="25">
        <f>IF(O76="Attacker",IFERROR(LET(nn,XLOOKUP(I76,Catalog[Name],Catalog[DmgN]),dd,XLOOKUP(I76,Catalog[Name],Catalog[DmgDie]),IF(dd=0,0,RANDBETWEEN(1,dd)+IF(nn&gt;=2,RANDBETWEEN(1,dd),0))),0),"")</f>
        <v/>
      </c>
      <c r="Q76" s="25">
        <f>IF(O76="Defender",IFERROR(LET(nn,XLOOKUP(J76,Catalog[Name],Catalog[CtrN]),dd,XLOOKUP(J76,Catalog[Name],Catalog[CtrDie]),IF(dd=0,0,RANDBETWEEN(1,dd)+IF(nn&gt;=2,RANDBETWEEN(1,dd),0))),0),"")</f>
        <v/>
      </c>
    </row>
    <row r="77">
      <c r="A77" s="20" t="n">
        <v>9</v>
      </c>
      <c r="B77" s="21" t="inlineStr">
        <is>
          <t>The Knotsmen</t>
        </is>
      </c>
      <c r="C77" s="22">
        <f>G68</f>
        <v/>
      </c>
      <c r="D77" s="22">
        <f>CEILING(XLOOKUP("The Knotsmen",FactionState[Faction],FactionState[Wealth])/2+XLOOKUP("The Knotsmen",FactionState[Faction],FactionState[Force])/4+XLOOKUP("The Knotsmen",FactionState[Faction],FactionState[Cunning])/4, 1)</f>
        <v/>
      </c>
      <c r="E77" s="22">
        <f>MAX(0,COUNTIFS(Register[Faction],"The Knotsmen",Register[Type],"Force")-XLOOKUP("The Knotsmen",FactionState[Faction],FactionState[Force]))+MAX(0,COUNTIFS(Register[Faction],"The Knotsmen",Register[Type],"Cunning")-XLOOKUP("The Knotsmen",FactionState[Faction],FactionState[Cunning]))+MAX(0,COUNTIFS(Register[Faction],"The Knotsmen",Register[Type],"Wealth")-XLOOKUP("The Knotsmen",FactionState[Faction],FactionState[Wealth]))+MAX(0,COUNTIFS(Register[Faction],"The Knotsmen",Register[Type],"Magic")-XLOOKUP("The Knotsmen",FactionState[Faction],FactionState[Magic]))</f>
        <v/>
      </c>
      <c r="F77" s="22">
        <f>IFERROR(VALUE('Action Sheet'!I76),0)</f>
        <v/>
      </c>
      <c r="G77" s="22">
        <f>C77+D77-E77-F77</f>
        <v/>
      </c>
      <c r="H77" s="22">
        <f>'Action Sheet'!D76</f>
        <v/>
      </c>
      <c r="I77" s="22">
        <f>'Action Sheet'!E76</f>
        <v/>
      </c>
      <c r="J77" s="22">
        <f>'Action Sheet'!H76</f>
        <v/>
      </c>
      <c r="K77" s="22">
        <f>IF(H77="Attack",RANDBETWEEN(1,10),"")</f>
        <v/>
      </c>
      <c r="L77" s="22">
        <f>IF(H77="Attack", K77+IFERROR(SWITCH(XLOOKUP(I77,Catalog[Name],Catalog[AtkAttr]),"Force",XLOOKUP("The Knotsmen",FactionState[Faction],FactionState[Force]),"Cunning",XLOOKUP("The Knotsmen",FactionState[Faction],FactionState[Cunning]),"Wealth",XLOOKUP("The Knotsmen",FactionState[Faction],FactionState[Wealth]),"Magic",XLOOKUP("The Knotsmen",FactionState[Faction],FactionState[Magic]),0),0),"")</f>
        <v/>
      </c>
      <c r="M77" s="22">
        <f>IF(H77="Attack",RANDBETWEEN(1,10),"")</f>
        <v/>
      </c>
      <c r="N77" s="22">
        <f>IF(H77="Attack", M77+IFERROR(LET(def_fac, XLOOKUP(J77,Register[Asset],Register[Faction]),def_attr, XLOOKUP(I77,Catalog[Name],Catalog[DefAttr]),SWITCH(def_attr,"Force",XLOOKUP(def_fac,FactionState[Faction],FactionState[Force]),"Cunning",XLOOKUP(def_fac,FactionState[Faction],FactionState[Cunning]),"Wealth",XLOOKUP(def_fac,FactionState[Faction],FactionState[Wealth]),"Magic",XLOOKUP(def_fac,FactionState[Faction],FactionState[Magic]),0)),0),"")</f>
        <v/>
      </c>
      <c r="O77" s="22">
        <f>IF(H77&lt;&gt;"Attack","",IF(AND(ISNUMBER(L77),ISNUMBER(N77)),IF(L77&gt;N77,"Attacker","Defender"),""))</f>
        <v/>
      </c>
      <c r="P77" s="22">
        <f>IF(O77="Attacker",IFERROR(LET(nn,XLOOKUP(I77,Catalog[Name],Catalog[DmgN]),dd,XLOOKUP(I77,Catalog[Name],Catalog[DmgDie]),IF(dd=0,0,RANDBETWEEN(1,dd)+IF(nn&gt;=2,RANDBETWEEN(1,dd),0))),0),"")</f>
        <v/>
      </c>
      <c r="Q77" s="22">
        <f>IF(O77="Defender",IFERROR(LET(nn,XLOOKUP(J77,Catalog[Name],Catalog[CtrN]),dd,XLOOKUP(J77,Catalog[Name],Catalog[CtrDie]),IF(dd=0,0,RANDBETWEEN(1,dd)+IF(nn&gt;=2,RANDBETWEEN(1,dd),0))),0),"")</f>
        <v/>
      </c>
    </row>
    <row r="78">
      <c r="A78" s="20" t="n">
        <v>9</v>
      </c>
      <c r="B78" s="21" t="inlineStr">
        <is>
          <t>The Aelf-Adal</t>
        </is>
      </c>
      <c r="C78" s="22">
        <f>G69</f>
        <v/>
      </c>
      <c r="D78" s="22">
        <f>CEILING(XLOOKUP("The Aelf-Adal",FactionState[Faction],FactionState[Wealth])/2+XLOOKUP("The Aelf-Adal",FactionState[Faction],FactionState[Force])/4+XLOOKUP("The Aelf-Adal",FactionState[Faction],FactionState[Cunning])/4, 1)</f>
        <v/>
      </c>
      <c r="E78" s="22">
        <f>MAX(0,COUNTIFS(Register[Faction],"The Aelf-Adal",Register[Type],"Force")-XLOOKUP("The Aelf-Adal",FactionState[Faction],FactionState[Force]))+MAX(0,COUNTIFS(Register[Faction],"The Aelf-Adal",Register[Type],"Cunning")-XLOOKUP("The Aelf-Adal",FactionState[Faction],FactionState[Cunning]))+MAX(0,COUNTIFS(Register[Faction],"The Aelf-Adal",Register[Type],"Wealth")-XLOOKUP("The Aelf-Adal",FactionState[Faction],FactionState[Wealth]))+MAX(0,COUNTIFS(Register[Faction],"The Aelf-Adal",Register[Type],"Magic")-XLOOKUP("The Aelf-Adal",FactionState[Faction],FactionState[Magic]))</f>
        <v/>
      </c>
      <c r="F78" s="22">
        <f>IFERROR(VALUE('Action Sheet'!I77),0)</f>
        <v/>
      </c>
      <c r="G78" s="22">
        <f>C78+D78-E78-F78</f>
        <v/>
      </c>
      <c r="H78" s="22">
        <f>'Action Sheet'!D77</f>
        <v/>
      </c>
      <c r="I78" s="22">
        <f>'Action Sheet'!E77</f>
        <v/>
      </c>
      <c r="J78" s="22">
        <f>'Action Sheet'!H77</f>
        <v/>
      </c>
      <c r="K78" s="22">
        <f>IF(H78="Attack",RANDBETWEEN(1,10),"")</f>
        <v/>
      </c>
      <c r="L78" s="22">
        <f>IF(H78="Attack", K78+IFERROR(SWITCH(XLOOKUP(I78,Catalog[Name],Catalog[AtkAttr]),"Force",XLOOKUP("The Aelf-Adal",FactionState[Faction],FactionState[Force]),"Cunning",XLOOKUP("The Aelf-Adal",FactionState[Faction],FactionState[Cunning]),"Wealth",XLOOKUP("The Aelf-Adal",FactionState[Faction],FactionState[Wealth]),"Magic",XLOOKUP("The Aelf-Adal",FactionState[Faction],FactionState[Magic]),0),0),"")</f>
        <v/>
      </c>
      <c r="M78" s="22">
        <f>IF(H78="Attack",RANDBETWEEN(1,10),"")</f>
        <v/>
      </c>
      <c r="N78" s="22">
        <f>IF(H78="Attack", M78+IFERROR(LET(def_fac, XLOOKUP(J78,Register[Asset],Register[Faction]),def_attr, XLOOKUP(I78,Catalog[Name],Catalog[DefAttr]),SWITCH(def_attr,"Force",XLOOKUP(def_fac,FactionState[Faction],FactionState[Force]),"Cunning",XLOOKUP(def_fac,FactionState[Faction],FactionState[Cunning]),"Wealth",XLOOKUP(def_fac,FactionState[Faction],FactionState[Wealth]),"Magic",XLOOKUP(def_fac,FactionState[Faction],FactionState[Magic]),0)),0),"")</f>
        <v/>
      </c>
      <c r="O78" s="22">
        <f>IF(H78&lt;&gt;"Attack","",IF(AND(ISNUMBER(L78),ISNUMBER(N78)),IF(L78&gt;N78,"Attacker","Defender"),""))</f>
        <v/>
      </c>
      <c r="P78" s="22">
        <f>IF(O78="Attacker",IFERROR(LET(nn,XLOOKUP(I78,Catalog[Name],Catalog[DmgN]),dd,XLOOKUP(I78,Catalog[Name],Catalog[DmgDie]),IF(dd=0,0,RANDBETWEEN(1,dd)+IF(nn&gt;=2,RANDBETWEEN(1,dd),0))),0),"")</f>
        <v/>
      </c>
      <c r="Q78" s="22">
        <f>IF(O78="Defender",IFERROR(LET(nn,XLOOKUP(J78,Catalog[Name],Catalog[CtrN]),dd,XLOOKUP(J78,Catalog[Name],Catalog[CtrDie]),IF(dd=0,0,RANDBETWEEN(1,dd)+IF(nn&gt;=2,RANDBETWEEN(1,dd),0))),0),"")</f>
        <v/>
      </c>
    </row>
    <row r="79">
      <c r="A79" s="20" t="n">
        <v>9</v>
      </c>
      <c r="B79" s="21" t="inlineStr">
        <is>
          <t>The Funginids</t>
        </is>
      </c>
      <c r="C79" s="22">
        <f>G70</f>
        <v/>
      </c>
      <c r="D79" s="22">
        <f>CEILING(XLOOKUP("The Funginids",FactionState[Faction],FactionState[Wealth])/2+XLOOKUP("The Funginids",FactionState[Faction],FactionState[Force])/4+XLOOKUP("The Funginids",FactionState[Faction],FactionState[Cunning])/4, 1)</f>
        <v/>
      </c>
      <c r="E79" s="22">
        <f>MAX(0,COUNTIFS(Register[Faction],"The Funginids",Register[Type],"Force")-XLOOKUP("The Funginids",FactionState[Faction],FactionState[Force]))+MAX(0,COUNTIFS(Register[Faction],"The Funginids",Register[Type],"Cunning")-XLOOKUP("The Funginids",FactionState[Faction],FactionState[Cunning]))+MAX(0,COUNTIFS(Register[Faction],"The Funginids",Register[Type],"Wealth")-XLOOKUP("The Funginids",FactionState[Faction],FactionState[Wealth]))+MAX(0,COUNTIFS(Register[Faction],"The Funginids",Register[Type],"Magic")-XLOOKUP("The Funginids",FactionState[Faction],FactionState[Magic]))</f>
        <v/>
      </c>
      <c r="F79" s="22">
        <f>IFERROR(VALUE('Action Sheet'!I78),0)</f>
        <v/>
      </c>
      <c r="G79" s="22">
        <f>C79+D79-E79-F79</f>
        <v/>
      </c>
      <c r="H79" s="22">
        <f>'Action Sheet'!D78</f>
        <v/>
      </c>
      <c r="I79" s="22">
        <f>'Action Sheet'!E78</f>
        <v/>
      </c>
      <c r="J79" s="22">
        <f>'Action Sheet'!H78</f>
        <v/>
      </c>
      <c r="K79" s="22">
        <f>IF(H79="Attack",RANDBETWEEN(1,10),"")</f>
        <v/>
      </c>
      <c r="L79" s="22">
        <f>IF(H79="Attack", K79+IFERROR(SWITCH(XLOOKUP(I79,Catalog[Name],Catalog[AtkAttr]),"Force",XLOOKUP("The Funginids",FactionState[Faction],FactionState[Force]),"Cunning",XLOOKUP("The Funginids",FactionState[Faction],FactionState[Cunning]),"Wealth",XLOOKUP("The Funginids",FactionState[Faction],FactionState[Wealth]),"Magic",XLOOKUP("The Funginids",FactionState[Faction],FactionState[Magic]),0),0),"")</f>
        <v/>
      </c>
      <c r="M79" s="22">
        <f>IF(H79="Attack",RANDBETWEEN(1,10),"")</f>
        <v/>
      </c>
      <c r="N79" s="22">
        <f>IF(H79="Attack", M79+IFERROR(LET(def_fac, XLOOKUP(J79,Register[Asset],Register[Faction]),def_attr, XLOOKUP(I79,Catalog[Name],Catalog[DefAttr]),SWITCH(def_attr,"Force",XLOOKUP(def_fac,FactionState[Faction],FactionState[Force]),"Cunning",XLOOKUP(def_fac,FactionState[Faction],FactionState[Cunning]),"Wealth",XLOOKUP(def_fac,FactionState[Faction],FactionState[Wealth]),"Magic",XLOOKUP(def_fac,FactionState[Faction],FactionState[Magic]),0)),0),"")</f>
        <v/>
      </c>
      <c r="O79" s="22">
        <f>IF(H79&lt;&gt;"Attack","",IF(AND(ISNUMBER(L79),ISNUMBER(N79)),IF(L79&gt;N79,"Attacker","Defender"),""))</f>
        <v/>
      </c>
      <c r="P79" s="22">
        <f>IF(O79="Attacker",IFERROR(LET(nn,XLOOKUP(I79,Catalog[Name],Catalog[DmgN]),dd,XLOOKUP(I79,Catalog[Name],Catalog[DmgDie]),IF(dd=0,0,RANDBETWEEN(1,dd)+IF(nn&gt;=2,RANDBETWEEN(1,dd),0))),0),"")</f>
        <v/>
      </c>
      <c r="Q79" s="22">
        <f>IF(O79="Defender",IFERROR(LET(nn,XLOOKUP(J79,Catalog[Name],Catalog[CtrN]),dd,XLOOKUP(J79,Catalog[Name],Catalog[CtrDie]),IF(dd=0,0,RANDBETWEEN(1,dd)+IF(nn&gt;=2,RANDBETWEEN(1,dd),0))),0),"")</f>
        <v/>
      </c>
    </row>
    <row r="80">
      <c r="A80" s="20" t="n">
        <v>9</v>
      </c>
      <c r="B80" s="21" t="inlineStr">
        <is>
          <t>The dErO</t>
        </is>
      </c>
      <c r="C80" s="22">
        <f>G71</f>
        <v/>
      </c>
      <c r="D80" s="22">
        <f>CEILING(XLOOKUP("The dErO",FactionState[Faction],FactionState[Wealth])/2+XLOOKUP("The dErO",FactionState[Faction],FactionState[Force])/4+XLOOKUP("The dErO",FactionState[Faction],FactionState[Cunning])/4, 1)</f>
        <v/>
      </c>
      <c r="E80" s="22">
        <f>MAX(0,COUNTIFS(Register[Faction],"The dErO",Register[Type],"Force")-XLOOKUP("The dErO",FactionState[Faction],FactionState[Force]))+MAX(0,COUNTIFS(Register[Faction],"The dErO",Register[Type],"Cunning")-XLOOKUP("The dErO",FactionState[Faction],FactionState[Cunning]))+MAX(0,COUNTIFS(Register[Faction],"The dErO",Register[Type],"Wealth")-XLOOKUP("The dErO",FactionState[Faction],FactionState[Wealth]))+MAX(0,COUNTIFS(Register[Faction],"The dErO",Register[Type],"Magic")-XLOOKUP("The dErO",FactionState[Faction],FactionState[Magic]))</f>
        <v/>
      </c>
      <c r="F80" s="22">
        <f>IFERROR(VALUE('Action Sheet'!I79),0)</f>
        <v/>
      </c>
      <c r="G80" s="22">
        <f>C80+D80-E80-F80</f>
        <v/>
      </c>
      <c r="H80" s="22">
        <f>'Action Sheet'!D79</f>
        <v/>
      </c>
      <c r="I80" s="22">
        <f>'Action Sheet'!E79</f>
        <v/>
      </c>
      <c r="J80" s="22">
        <f>'Action Sheet'!H79</f>
        <v/>
      </c>
      <c r="K80" s="22">
        <f>IF(H80="Attack",RANDBETWEEN(1,10),"")</f>
        <v/>
      </c>
      <c r="L80" s="22">
        <f>IF(H80="Attack", K80+IFERROR(SWITCH(XLOOKUP(I80,Catalog[Name],Catalog[AtkAttr]),"Force",XLOOKUP("The dErO",FactionState[Faction],FactionState[Force]),"Cunning",XLOOKUP("The dErO",FactionState[Faction],FactionState[Cunning]),"Wealth",XLOOKUP("The dErO",FactionState[Faction],FactionState[Wealth]),"Magic",XLOOKUP("The dErO",FactionState[Faction],FactionState[Magic]),0),0),"")</f>
        <v/>
      </c>
      <c r="M80" s="22">
        <f>IF(H80="Attack",RANDBETWEEN(1,10),"")</f>
        <v/>
      </c>
      <c r="N80" s="22">
        <f>IF(H80="Attack", M80+IFERROR(LET(def_fac, XLOOKUP(J80,Register[Asset],Register[Faction]),def_attr, XLOOKUP(I80,Catalog[Name],Catalog[DefAttr]),SWITCH(def_attr,"Force",XLOOKUP(def_fac,FactionState[Faction],FactionState[Force]),"Cunning",XLOOKUP(def_fac,FactionState[Faction],FactionState[Cunning]),"Wealth",XLOOKUP(def_fac,FactionState[Faction],FactionState[Wealth]),"Magic",XLOOKUP(def_fac,FactionState[Faction],FactionState[Magic]),0)),0),"")</f>
        <v/>
      </c>
      <c r="O80" s="22">
        <f>IF(H80&lt;&gt;"Attack","",IF(AND(ISNUMBER(L80),ISNUMBER(N80)),IF(L80&gt;N80,"Attacker","Defender"),""))</f>
        <v/>
      </c>
      <c r="P80" s="22">
        <f>IF(O80="Attacker",IFERROR(LET(nn,XLOOKUP(I80,Catalog[Name],Catalog[DmgN]),dd,XLOOKUP(I80,Catalog[Name],Catalog[DmgDie]),IF(dd=0,0,RANDBETWEEN(1,dd)+IF(nn&gt;=2,RANDBETWEEN(1,dd),0))),0),"")</f>
        <v/>
      </c>
      <c r="Q80" s="22">
        <f>IF(O80="Defender",IFERROR(LET(nn,XLOOKUP(J80,Catalog[Name],Catalog[CtrN]),dd,XLOOKUP(J80,Catalog[Name],Catalog[CtrDie]),IF(dd=0,0,RANDBETWEEN(1,dd)+IF(nn&gt;=2,RANDBETWEEN(1,dd),0))),0),"")</f>
        <v/>
      </c>
    </row>
    <row r="81">
      <c r="A81" s="20" t="n">
        <v>9</v>
      </c>
      <c r="B81" s="21" t="inlineStr">
        <is>
          <t>The Dvargir</t>
        </is>
      </c>
      <c r="C81" s="22">
        <f>G72</f>
        <v/>
      </c>
      <c r="D81" s="22">
        <f>CEILING(XLOOKUP("The Dvargir",FactionState[Faction],FactionState[Wealth])/2+XLOOKUP("The Dvargir",FactionState[Faction],FactionState[Force])/4+XLOOKUP("The Dvargir",FactionState[Faction],FactionState[Cunning])/4, 1)</f>
        <v/>
      </c>
      <c r="E81" s="22">
        <f>MAX(0,COUNTIFS(Register[Faction],"The Dvargir",Register[Type],"Force")-XLOOKUP("The Dvargir",FactionState[Faction],FactionState[Force]))+MAX(0,COUNTIFS(Register[Faction],"The Dvargir",Register[Type],"Cunning")-XLOOKUP("The Dvargir",FactionState[Faction],FactionState[Cunning]))+MAX(0,COUNTIFS(Register[Faction],"The Dvargir",Register[Type],"Wealth")-XLOOKUP("The Dvargir",FactionState[Faction],FactionState[Wealth]))+MAX(0,COUNTIFS(Register[Faction],"The Dvargir",Register[Type],"Magic")-XLOOKUP("The Dvargir",FactionState[Faction],FactionState[Magic]))</f>
        <v/>
      </c>
      <c r="F81" s="22">
        <f>IFERROR(VALUE('Action Sheet'!I80),0)</f>
        <v/>
      </c>
      <c r="G81" s="22">
        <f>C81+D81-E81-F81</f>
        <v/>
      </c>
      <c r="H81" s="22">
        <f>'Action Sheet'!D80</f>
        <v/>
      </c>
      <c r="I81" s="22">
        <f>'Action Sheet'!E80</f>
        <v/>
      </c>
      <c r="J81" s="22">
        <f>'Action Sheet'!H80</f>
        <v/>
      </c>
      <c r="K81" s="22">
        <f>IF(H81="Attack",RANDBETWEEN(1,10),"")</f>
        <v/>
      </c>
      <c r="L81" s="22">
        <f>IF(H81="Attack", K81+IFERROR(SWITCH(XLOOKUP(I81,Catalog[Name],Catalog[AtkAttr]),"Force",XLOOKUP("The Dvargir",FactionState[Faction],FactionState[Force]),"Cunning",XLOOKUP("The Dvargir",FactionState[Faction],FactionState[Cunning]),"Wealth",XLOOKUP("The Dvargir",FactionState[Faction],FactionState[Wealth]),"Magic",XLOOKUP("The Dvargir",FactionState[Faction],FactionState[Magic]),0),0),"")</f>
        <v/>
      </c>
      <c r="M81" s="22">
        <f>IF(H81="Attack",RANDBETWEEN(1,10),"")</f>
        <v/>
      </c>
      <c r="N81" s="22">
        <f>IF(H81="Attack", M81+IFERROR(LET(def_fac, XLOOKUP(J81,Register[Asset],Register[Faction]),def_attr, XLOOKUP(I81,Catalog[Name],Catalog[DefAttr]),SWITCH(def_attr,"Force",XLOOKUP(def_fac,FactionState[Faction],FactionState[Force]),"Cunning",XLOOKUP(def_fac,FactionState[Faction],FactionState[Cunning]),"Wealth",XLOOKUP(def_fac,FactionState[Faction],FactionState[Wealth]),"Magic",XLOOKUP(def_fac,FactionState[Faction],FactionState[Magic]),0)),0),"")</f>
        <v/>
      </c>
      <c r="O81" s="22">
        <f>IF(H81&lt;&gt;"Attack","",IF(AND(ISNUMBER(L81),ISNUMBER(N81)),IF(L81&gt;N81,"Attacker","Defender"),""))</f>
        <v/>
      </c>
      <c r="P81" s="22">
        <f>IF(O81="Attacker",IFERROR(LET(nn,XLOOKUP(I81,Catalog[Name],Catalog[DmgN]),dd,XLOOKUP(I81,Catalog[Name],Catalog[DmgDie]),IF(dd=0,0,RANDBETWEEN(1,dd)+IF(nn&gt;=2,RANDBETWEEN(1,dd),0))),0),"")</f>
        <v/>
      </c>
      <c r="Q81" s="22">
        <f>IF(O81="Defender",IFERROR(LET(nn,XLOOKUP(J81,Catalog[Name],Catalog[CtrN]),dd,XLOOKUP(J81,Catalog[Name],Catalog[CtrDie]),IF(dd=0,0,RANDBETWEEN(1,dd)+IF(nn&gt;=2,RANDBETWEEN(1,dd),0))),0),"")</f>
        <v/>
      </c>
    </row>
    <row r="82">
      <c r="A82" s="20" t="n">
        <v>9</v>
      </c>
      <c r="B82" s="21" t="inlineStr">
        <is>
          <t>The Gnonmen</t>
        </is>
      </c>
      <c r="C82" s="22">
        <f>G73</f>
        <v/>
      </c>
      <c r="D82" s="22">
        <f>CEILING(XLOOKUP("The Gnonmen",FactionState[Faction],FactionState[Wealth])/2+XLOOKUP("The Gnonmen",FactionState[Faction],FactionState[Force])/4+XLOOKUP("The Gnonmen",FactionState[Faction],FactionState[Cunning])/4, 1)</f>
        <v/>
      </c>
      <c r="E82" s="22">
        <f>MAX(0,COUNTIFS(Register[Faction],"The Gnonmen",Register[Type],"Force")-XLOOKUP("The Gnonmen",FactionState[Faction],FactionState[Force]))+MAX(0,COUNTIFS(Register[Faction],"The Gnonmen",Register[Type],"Cunning")-XLOOKUP("The Gnonmen",FactionState[Faction],FactionState[Cunning]))+MAX(0,COUNTIFS(Register[Faction],"The Gnonmen",Register[Type],"Wealth")-XLOOKUP("The Gnonmen",FactionState[Faction],FactionState[Wealth]))+MAX(0,COUNTIFS(Register[Faction],"The Gnonmen",Register[Type],"Magic")-XLOOKUP("The Gnonmen",FactionState[Faction],FactionState[Magic]))</f>
        <v/>
      </c>
      <c r="F82" s="22">
        <f>IFERROR(VALUE('Action Sheet'!I81),0)</f>
        <v/>
      </c>
      <c r="G82" s="22">
        <f>C82+D82-E82-F82</f>
        <v/>
      </c>
      <c r="H82" s="22">
        <f>'Action Sheet'!D81</f>
        <v/>
      </c>
      <c r="I82" s="22">
        <f>'Action Sheet'!E81</f>
        <v/>
      </c>
      <c r="J82" s="22">
        <f>'Action Sheet'!H81</f>
        <v/>
      </c>
      <c r="K82" s="22">
        <f>IF(H82="Attack",RANDBETWEEN(1,10),"")</f>
        <v/>
      </c>
      <c r="L82" s="22">
        <f>IF(H82="Attack", K82+IFERROR(SWITCH(XLOOKUP(I82,Catalog[Name],Catalog[AtkAttr]),"Force",XLOOKUP("The Gnonmen",FactionState[Faction],FactionState[Force]),"Cunning",XLOOKUP("The Gnonmen",FactionState[Faction],FactionState[Cunning]),"Wealth",XLOOKUP("The Gnonmen",FactionState[Faction],FactionState[Wealth]),"Magic",XLOOKUP("The Gnonmen",FactionState[Faction],FactionState[Magic]),0),0),"")</f>
        <v/>
      </c>
      <c r="M82" s="22">
        <f>IF(H82="Attack",RANDBETWEEN(1,10),"")</f>
        <v/>
      </c>
      <c r="N82" s="22">
        <f>IF(H82="Attack", M82+IFERROR(LET(def_fac, XLOOKUP(J82,Register[Asset],Register[Faction]),def_attr, XLOOKUP(I82,Catalog[Name],Catalog[DefAttr]),SWITCH(def_attr,"Force",XLOOKUP(def_fac,FactionState[Faction],FactionState[Force]),"Cunning",XLOOKUP(def_fac,FactionState[Faction],FactionState[Cunning]),"Wealth",XLOOKUP(def_fac,FactionState[Faction],FactionState[Wealth]),"Magic",XLOOKUP(def_fac,FactionState[Faction],FactionState[Magic]),0)),0),"")</f>
        <v/>
      </c>
      <c r="O82" s="22">
        <f>IF(H82&lt;&gt;"Attack","",IF(AND(ISNUMBER(L82),ISNUMBER(N82)),IF(L82&gt;N82,"Attacker","Defender"),""))</f>
        <v/>
      </c>
      <c r="P82" s="22">
        <f>IF(O82="Attacker",IFERROR(LET(nn,XLOOKUP(I82,Catalog[Name],Catalog[DmgN]),dd,XLOOKUP(I82,Catalog[Name],Catalog[DmgDie]),IF(dd=0,0,RANDBETWEEN(1,dd)+IF(nn&gt;=2,RANDBETWEEN(1,dd),0))),0),"")</f>
        <v/>
      </c>
      <c r="Q82" s="22">
        <f>IF(O82="Defender",IFERROR(LET(nn,XLOOKUP(J82,Catalog[Name],Catalog[CtrN]),dd,XLOOKUP(J82,Catalog[Name],Catalog[CtrDie]),IF(dd=0,0,RANDBETWEEN(1,dd)+IF(nn&gt;=2,RANDBETWEEN(1,dd),0))),0),"")</f>
        <v/>
      </c>
    </row>
    <row r="83">
      <c r="A83" s="20" t="n">
        <v>9</v>
      </c>
      <c r="B83" s="21" t="inlineStr">
        <is>
          <t>The Substratals</t>
        </is>
      </c>
      <c r="C83" s="22">
        <f>G74</f>
        <v/>
      </c>
      <c r="D83" s="22">
        <f>CEILING(XLOOKUP("The Substratals",FactionState[Faction],FactionState[Wealth])/2+XLOOKUP("The Substratals",FactionState[Faction],FactionState[Force])/4+XLOOKUP("The Substratals",FactionState[Faction],FactionState[Cunning])/4, 1)</f>
        <v/>
      </c>
      <c r="E83" s="22">
        <f>MAX(0,COUNTIFS(Register[Faction],"The Substratals",Register[Type],"Force")-XLOOKUP("The Substratals",FactionState[Faction],FactionState[Force]))+MAX(0,COUNTIFS(Register[Faction],"The Substratals",Register[Type],"Cunning")-XLOOKUP("The Substratals",FactionState[Faction],FactionState[Cunning]))+MAX(0,COUNTIFS(Register[Faction],"The Substratals",Register[Type],"Wealth")-XLOOKUP("The Substratals",FactionState[Faction],FactionState[Wealth]))+MAX(0,COUNTIFS(Register[Faction],"The Substratals",Register[Type],"Magic")-XLOOKUP("The Substratals",FactionState[Faction],FactionState[Magic]))</f>
        <v/>
      </c>
      <c r="F83" s="22">
        <f>IFERROR(VALUE('Action Sheet'!I82),0)</f>
        <v/>
      </c>
      <c r="G83" s="22">
        <f>C83+D83-E83-F83</f>
        <v/>
      </c>
      <c r="H83" s="22">
        <f>'Action Sheet'!D82</f>
        <v/>
      </c>
      <c r="I83" s="22">
        <f>'Action Sheet'!E82</f>
        <v/>
      </c>
      <c r="J83" s="22">
        <f>'Action Sheet'!H82</f>
        <v/>
      </c>
      <c r="K83" s="22">
        <f>IF(H83="Attack",RANDBETWEEN(1,10),"")</f>
        <v/>
      </c>
      <c r="L83" s="22">
        <f>IF(H83="Attack", K83+IFERROR(SWITCH(XLOOKUP(I83,Catalog[Name],Catalog[AtkAttr]),"Force",XLOOKUP("The Substratals",FactionState[Faction],FactionState[Force]),"Cunning",XLOOKUP("The Substratals",FactionState[Faction],FactionState[Cunning]),"Wealth",XLOOKUP("The Substratals",FactionState[Faction],FactionState[Wealth]),"Magic",XLOOKUP("The Substratals",FactionState[Faction],FactionState[Magic]),0),0),"")</f>
        <v/>
      </c>
      <c r="M83" s="22">
        <f>IF(H83="Attack",RANDBETWEEN(1,10),"")</f>
        <v/>
      </c>
      <c r="N83" s="22">
        <f>IF(H83="Attack", M83+IFERROR(LET(def_fac, XLOOKUP(J83,Register[Asset],Register[Faction]),def_attr, XLOOKUP(I83,Catalog[Name],Catalog[DefAttr]),SWITCH(def_attr,"Force",XLOOKUP(def_fac,FactionState[Faction],FactionState[Force]),"Cunning",XLOOKUP(def_fac,FactionState[Faction],FactionState[Cunning]),"Wealth",XLOOKUP(def_fac,FactionState[Faction],FactionState[Wealth]),"Magic",XLOOKUP(def_fac,FactionState[Faction],FactionState[Magic]),0)),0),"")</f>
        <v/>
      </c>
      <c r="O83" s="22">
        <f>IF(H83&lt;&gt;"Attack","",IF(AND(ISNUMBER(L83),ISNUMBER(N83)),IF(L83&gt;N83,"Attacker","Defender"),""))</f>
        <v/>
      </c>
      <c r="P83" s="22">
        <f>IF(O83="Attacker",IFERROR(LET(nn,XLOOKUP(I83,Catalog[Name],Catalog[DmgN]),dd,XLOOKUP(I83,Catalog[Name],Catalog[DmgDie]),IF(dd=0,0,RANDBETWEEN(1,dd)+IF(nn&gt;=2,RANDBETWEEN(1,dd),0))),0),"")</f>
        <v/>
      </c>
      <c r="Q83" s="22">
        <f>IF(O83="Defender",IFERROR(LET(nn,XLOOKUP(J83,Catalog[Name],Catalog[CtrN]),dd,XLOOKUP(J83,Catalog[Name],Catalog[CtrDie]),IF(dd=0,0,RANDBETWEEN(1,dd)+IF(nn&gt;=2,RANDBETWEEN(1,dd),0))),0),"")</f>
        <v/>
      </c>
    </row>
    <row r="84">
      <c r="A84" s="20" t="n">
        <v>9</v>
      </c>
      <c r="B84" s="21" t="inlineStr">
        <is>
          <t>The Deep Janeen</t>
        </is>
      </c>
      <c r="C84" s="22">
        <f>G75</f>
        <v/>
      </c>
      <c r="D84" s="22">
        <f>CEILING(XLOOKUP("The Deep Janeen",FactionState[Faction],FactionState[Wealth])/2+XLOOKUP("The Deep Janeen",FactionState[Faction],FactionState[Force])/4+XLOOKUP("The Deep Janeen",FactionState[Faction],FactionState[Cunning])/4, 1)</f>
        <v/>
      </c>
      <c r="E84" s="22">
        <f>MAX(0,COUNTIFS(Register[Faction],"The Deep Janeen",Register[Type],"Force")-XLOOKUP("The Deep Janeen",FactionState[Faction],FactionState[Force]))+MAX(0,COUNTIFS(Register[Faction],"The Deep Janeen",Register[Type],"Cunning")-XLOOKUP("The Deep Janeen",FactionState[Faction],FactionState[Cunning]))+MAX(0,COUNTIFS(Register[Faction],"The Deep Janeen",Register[Type],"Wealth")-XLOOKUP("The Deep Janeen",FactionState[Faction],FactionState[Wealth]))+MAX(0,COUNTIFS(Register[Faction],"The Deep Janeen",Register[Type],"Magic")-XLOOKUP("The Deep Janeen",FactionState[Faction],FactionState[Magic]))</f>
        <v/>
      </c>
      <c r="F84" s="22">
        <f>IFERROR(VALUE('Action Sheet'!I83),0)</f>
        <v/>
      </c>
      <c r="G84" s="22">
        <f>C84+D84-E84-F84</f>
        <v/>
      </c>
      <c r="H84" s="22">
        <f>'Action Sheet'!D83</f>
        <v/>
      </c>
      <c r="I84" s="22">
        <f>'Action Sheet'!E83</f>
        <v/>
      </c>
      <c r="J84" s="22">
        <f>'Action Sheet'!H83</f>
        <v/>
      </c>
      <c r="K84" s="22">
        <f>IF(H84="Attack",RANDBETWEEN(1,10),"")</f>
        <v/>
      </c>
      <c r="L84" s="22">
        <f>IF(H84="Attack", K84+IFERROR(SWITCH(XLOOKUP(I84,Catalog[Name],Catalog[AtkAttr]),"Force",XLOOKUP("The Deep Janeen",FactionState[Faction],FactionState[Force]),"Cunning",XLOOKUP("The Deep Janeen",FactionState[Faction],FactionState[Cunning]),"Wealth",XLOOKUP("The Deep Janeen",FactionState[Faction],FactionState[Wealth]),"Magic",XLOOKUP("The Deep Janeen",FactionState[Faction],FactionState[Magic]),0),0),"")</f>
        <v/>
      </c>
      <c r="M84" s="22">
        <f>IF(H84="Attack",RANDBETWEEN(1,10),"")</f>
        <v/>
      </c>
      <c r="N84" s="22">
        <f>IF(H84="Attack", M84+IFERROR(LET(def_fac, XLOOKUP(J84,Register[Asset],Register[Faction]),def_attr, XLOOKUP(I84,Catalog[Name],Catalog[DefAttr]),SWITCH(def_attr,"Force",XLOOKUP(def_fac,FactionState[Faction],FactionState[Force]),"Cunning",XLOOKUP(def_fac,FactionState[Faction],FactionState[Cunning]),"Wealth",XLOOKUP(def_fac,FactionState[Faction],FactionState[Wealth]),"Magic",XLOOKUP(def_fac,FactionState[Faction],FactionState[Magic]),0)),0),"")</f>
        <v/>
      </c>
      <c r="O84" s="22">
        <f>IF(H84&lt;&gt;"Attack","",IF(AND(ISNUMBER(L84),ISNUMBER(N84)),IF(L84&gt;N84,"Attacker","Defender"),""))</f>
        <v/>
      </c>
      <c r="P84" s="22">
        <f>IF(O84="Attacker",IFERROR(LET(nn,XLOOKUP(I84,Catalog[Name],Catalog[DmgN]),dd,XLOOKUP(I84,Catalog[Name],Catalog[DmgDie]),IF(dd=0,0,RANDBETWEEN(1,dd)+IF(nn&gt;=2,RANDBETWEEN(1,dd),0))),0),"")</f>
        <v/>
      </c>
      <c r="Q84" s="22">
        <f>IF(O84="Defender",IFERROR(LET(nn,XLOOKUP(J84,Catalog[Name],Catalog[CtrN]),dd,XLOOKUP(J84,Catalog[Name],Catalog[CtrDie]),IF(dd=0,0,RANDBETWEEN(1,dd)+IF(nn&gt;=2,RANDBETWEEN(1,dd),0))),0),"")</f>
        <v/>
      </c>
    </row>
    <row r="85">
      <c r="A85" s="20" t="n">
        <v>9</v>
      </c>
      <c r="B85" s="21" t="inlineStr">
        <is>
          <t>The Olm</t>
        </is>
      </c>
      <c r="C85" s="22">
        <f>G76</f>
        <v/>
      </c>
      <c r="D85" s="22">
        <f>CEILING(XLOOKUP("The Olm",FactionState[Faction],FactionState[Wealth])/2+XLOOKUP("The Olm",FactionState[Faction],FactionState[Force])/4+XLOOKUP("The Olm",FactionState[Faction],FactionState[Cunning])/4, 1)</f>
        <v/>
      </c>
      <c r="E85" s="22">
        <f>MAX(0,COUNTIFS(Register[Faction],"The Olm",Register[Type],"Force")-XLOOKUP("The Olm",FactionState[Faction],FactionState[Force]))+MAX(0,COUNTIFS(Register[Faction],"The Olm",Register[Type],"Cunning")-XLOOKUP("The Olm",FactionState[Faction],FactionState[Cunning]))+MAX(0,COUNTIFS(Register[Faction],"The Olm",Register[Type],"Wealth")-XLOOKUP("The Olm",FactionState[Faction],FactionState[Wealth]))+MAX(0,COUNTIFS(Register[Faction],"The Olm",Register[Type],"Magic")-XLOOKUP("The Olm",FactionState[Faction],FactionState[Magic]))</f>
        <v/>
      </c>
      <c r="F85" s="22">
        <f>IFERROR(VALUE('Action Sheet'!I84),0)</f>
        <v/>
      </c>
      <c r="G85" s="22">
        <f>C85+D85-E85-F85</f>
        <v/>
      </c>
      <c r="H85" s="22">
        <f>'Action Sheet'!D84</f>
        <v/>
      </c>
      <c r="I85" s="22">
        <f>'Action Sheet'!E84</f>
        <v/>
      </c>
      <c r="J85" s="22">
        <f>'Action Sheet'!H84</f>
        <v/>
      </c>
      <c r="K85" s="22">
        <f>IF(H85="Attack",RANDBETWEEN(1,10),"")</f>
        <v/>
      </c>
      <c r="L85" s="22">
        <f>IF(H85="Attack", K85+IFERROR(SWITCH(XLOOKUP(I85,Catalog[Name],Catalog[AtkAttr]),"Force",XLOOKUP("The Olm",FactionState[Faction],FactionState[Force]),"Cunning",XLOOKUP("The Olm",FactionState[Faction],FactionState[Cunning]),"Wealth",XLOOKUP("The Olm",FactionState[Faction],FactionState[Wealth]),"Magic",XLOOKUP("The Olm",FactionState[Faction],FactionState[Magic]),0),0),"")</f>
        <v/>
      </c>
      <c r="M85" s="22">
        <f>IF(H85="Attack",RANDBETWEEN(1,10),"")</f>
        <v/>
      </c>
      <c r="N85" s="22">
        <f>IF(H85="Attack", M85+IFERROR(LET(def_fac, XLOOKUP(J85,Register[Asset],Register[Faction]),def_attr, XLOOKUP(I85,Catalog[Name],Catalog[DefAttr]),SWITCH(def_attr,"Force",XLOOKUP(def_fac,FactionState[Faction],FactionState[Force]),"Cunning",XLOOKUP(def_fac,FactionState[Faction],FactionState[Cunning]),"Wealth",XLOOKUP(def_fac,FactionState[Faction],FactionState[Wealth]),"Magic",XLOOKUP(def_fac,FactionState[Faction],FactionState[Magic]),0)),0),"")</f>
        <v/>
      </c>
      <c r="O85" s="22">
        <f>IF(H85&lt;&gt;"Attack","",IF(AND(ISNUMBER(L85),ISNUMBER(N85)),IF(L85&gt;N85,"Attacker","Defender"),""))</f>
        <v/>
      </c>
      <c r="P85" s="22">
        <f>IF(O85="Attacker",IFERROR(LET(nn,XLOOKUP(I85,Catalog[Name],Catalog[DmgN]),dd,XLOOKUP(I85,Catalog[Name],Catalog[DmgDie]),IF(dd=0,0,RANDBETWEEN(1,dd)+IF(nn&gt;=2,RANDBETWEEN(1,dd),0))),0),"")</f>
        <v/>
      </c>
      <c r="Q85" s="22">
        <f>IF(O85="Defender",IFERROR(LET(nn,XLOOKUP(J85,Catalog[Name],Catalog[CtrN]),dd,XLOOKUP(J85,Catalog[Name],Catalog[CtrDie]),IF(dd=0,0,RANDBETWEEN(1,dd)+IF(nn&gt;=2,RANDBETWEEN(1,dd),0))),0),"")</f>
        <v/>
      </c>
    </row>
    <row r="86">
      <c r="A86" s="23" t="n">
        <v>10</v>
      </c>
      <c r="B86" s="24" t="inlineStr">
        <is>
          <t>The Knotsmen</t>
        </is>
      </c>
      <c r="C86" s="25">
        <f>G77</f>
        <v/>
      </c>
      <c r="D86" s="25">
        <f>CEILING(XLOOKUP("The Knotsmen",FactionState[Faction],FactionState[Wealth])/2+XLOOKUP("The Knotsmen",FactionState[Faction],FactionState[Force])/4+XLOOKUP("The Knotsmen",FactionState[Faction],FactionState[Cunning])/4, 1)</f>
        <v/>
      </c>
      <c r="E86" s="25">
        <f>MAX(0,COUNTIFS(Register[Faction],"The Knotsmen",Register[Type],"Force")-XLOOKUP("The Knotsmen",FactionState[Faction],FactionState[Force]))+MAX(0,COUNTIFS(Register[Faction],"The Knotsmen",Register[Type],"Cunning")-XLOOKUP("The Knotsmen",FactionState[Faction],FactionState[Cunning]))+MAX(0,COUNTIFS(Register[Faction],"The Knotsmen",Register[Type],"Wealth")-XLOOKUP("The Knotsmen",FactionState[Faction],FactionState[Wealth]))+MAX(0,COUNTIFS(Register[Faction],"The Knotsmen",Register[Type],"Magic")-XLOOKUP("The Knotsmen",FactionState[Faction],FactionState[Magic]))</f>
        <v/>
      </c>
      <c r="F86" s="25">
        <f>IFERROR(VALUE('Action Sheet'!I85),0)</f>
        <v/>
      </c>
      <c r="G86" s="25">
        <f>C86+D86-E86-F86</f>
        <v/>
      </c>
      <c r="H86" s="25">
        <f>'Action Sheet'!D85</f>
        <v/>
      </c>
      <c r="I86" s="25">
        <f>'Action Sheet'!E85</f>
        <v/>
      </c>
      <c r="J86" s="25">
        <f>'Action Sheet'!H85</f>
        <v/>
      </c>
      <c r="K86" s="25">
        <f>IF(H86="Attack",RANDBETWEEN(1,10),"")</f>
        <v/>
      </c>
      <c r="L86" s="25">
        <f>IF(H86="Attack", K86+IFERROR(SWITCH(XLOOKUP(I86,Catalog[Name],Catalog[AtkAttr]),"Force",XLOOKUP("The Knotsmen",FactionState[Faction],FactionState[Force]),"Cunning",XLOOKUP("The Knotsmen",FactionState[Faction],FactionState[Cunning]),"Wealth",XLOOKUP("The Knotsmen",FactionState[Faction],FactionState[Wealth]),"Magic",XLOOKUP("The Knotsmen",FactionState[Faction],FactionState[Magic]),0),0),"")</f>
        <v/>
      </c>
      <c r="M86" s="25">
        <f>IF(H86="Attack",RANDBETWEEN(1,10),"")</f>
        <v/>
      </c>
      <c r="N86" s="25">
        <f>IF(H86="Attack", M86+IFERROR(LET(def_fac, XLOOKUP(J86,Register[Asset],Register[Faction]),def_attr, XLOOKUP(I86,Catalog[Name],Catalog[DefAttr]),SWITCH(def_attr,"Force",XLOOKUP(def_fac,FactionState[Faction],FactionState[Force]),"Cunning",XLOOKUP(def_fac,FactionState[Faction],FactionState[Cunning]),"Wealth",XLOOKUP(def_fac,FactionState[Faction],FactionState[Wealth]),"Magic",XLOOKUP(def_fac,FactionState[Faction],FactionState[Magic]),0)),0),"")</f>
        <v/>
      </c>
      <c r="O86" s="25">
        <f>IF(H86&lt;&gt;"Attack","",IF(AND(ISNUMBER(L86),ISNUMBER(N86)),IF(L86&gt;N86,"Attacker","Defender"),""))</f>
        <v/>
      </c>
      <c r="P86" s="25">
        <f>IF(O86="Attacker",IFERROR(LET(nn,XLOOKUP(I86,Catalog[Name],Catalog[DmgN]),dd,XLOOKUP(I86,Catalog[Name],Catalog[DmgDie]),IF(dd=0,0,RANDBETWEEN(1,dd)+IF(nn&gt;=2,RANDBETWEEN(1,dd),0))),0),"")</f>
        <v/>
      </c>
      <c r="Q86" s="25">
        <f>IF(O86="Defender",IFERROR(LET(nn,XLOOKUP(J86,Catalog[Name],Catalog[CtrN]),dd,XLOOKUP(J86,Catalog[Name],Catalog[CtrDie]),IF(dd=0,0,RANDBETWEEN(1,dd)+IF(nn&gt;=2,RANDBETWEEN(1,dd),0))),0),"")</f>
        <v/>
      </c>
    </row>
    <row r="87">
      <c r="A87" s="23" t="n">
        <v>10</v>
      </c>
      <c r="B87" s="24" t="inlineStr">
        <is>
          <t>The Aelf-Adal</t>
        </is>
      </c>
      <c r="C87" s="25">
        <f>G78</f>
        <v/>
      </c>
      <c r="D87" s="25">
        <f>CEILING(XLOOKUP("The Aelf-Adal",FactionState[Faction],FactionState[Wealth])/2+XLOOKUP("The Aelf-Adal",FactionState[Faction],FactionState[Force])/4+XLOOKUP("The Aelf-Adal",FactionState[Faction],FactionState[Cunning])/4, 1)</f>
        <v/>
      </c>
      <c r="E87" s="25">
        <f>MAX(0,COUNTIFS(Register[Faction],"The Aelf-Adal",Register[Type],"Force")-XLOOKUP("The Aelf-Adal",FactionState[Faction],FactionState[Force]))+MAX(0,COUNTIFS(Register[Faction],"The Aelf-Adal",Register[Type],"Cunning")-XLOOKUP("The Aelf-Adal",FactionState[Faction],FactionState[Cunning]))+MAX(0,COUNTIFS(Register[Faction],"The Aelf-Adal",Register[Type],"Wealth")-XLOOKUP("The Aelf-Adal",FactionState[Faction],FactionState[Wealth]))+MAX(0,COUNTIFS(Register[Faction],"The Aelf-Adal",Register[Type],"Magic")-XLOOKUP("The Aelf-Adal",FactionState[Faction],FactionState[Magic]))</f>
        <v/>
      </c>
      <c r="F87" s="25">
        <f>IFERROR(VALUE('Action Sheet'!I86),0)</f>
        <v/>
      </c>
      <c r="G87" s="25">
        <f>C87+D87-E87-F87</f>
        <v/>
      </c>
      <c r="H87" s="25">
        <f>'Action Sheet'!D86</f>
        <v/>
      </c>
      <c r="I87" s="25">
        <f>'Action Sheet'!E86</f>
        <v/>
      </c>
      <c r="J87" s="25">
        <f>'Action Sheet'!H86</f>
        <v/>
      </c>
      <c r="K87" s="25">
        <f>IF(H87="Attack",RANDBETWEEN(1,10),"")</f>
        <v/>
      </c>
      <c r="L87" s="25">
        <f>IF(H87="Attack", K87+IFERROR(SWITCH(XLOOKUP(I87,Catalog[Name],Catalog[AtkAttr]),"Force",XLOOKUP("The Aelf-Adal",FactionState[Faction],FactionState[Force]),"Cunning",XLOOKUP("The Aelf-Adal",FactionState[Faction],FactionState[Cunning]),"Wealth",XLOOKUP("The Aelf-Adal",FactionState[Faction],FactionState[Wealth]),"Magic",XLOOKUP("The Aelf-Adal",FactionState[Faction],FactionState[Magic]),0),0),"")</f>
        <v/>
      </c>
      <c r="M87" s="25">
        <f>IF(H87="Attack",RANDBETWEEN(1,10),"")</f>
        <v/>
      </c>
      <c r="N87" s="25">
        <f>IF(H87="Attack", M87+IFERROR(LET(def_fac, XLOOKUP(J87,Register[Asset],Register[Faction]),def_attr, XLOOKUP(I87,Catalog[Name],Catalog[DefAttr]),SWITCH(def_attr,"Force",XLOOKUP(def_fac,FactionState[Faction],FactionState[Force]),"Cunning",XLOOKUP(def_fac,FactionState[Faction],FactionState[Cunning]),"Wealth",XLOOKUP(def_fac,FactionState[Faction],FactionState[Wealth]),"Magic",XLOOKUP(def_fac,FactionState[Faction],FactionState[Magic]),0)),0),"")</f>
        <v/>
      </c>
      <c r="O87" s="25">
        <f>IF(H87&lt;&gt;"Attack","",IF(AND(ISNUMBER(L87),ISNUMBER(N87)),IF(L87&gt;N87,"Attacker","Defender"),""))</f>
        <v/>
      </c>
      <c r="P87" s="25">
        <f>IF(O87="Attacker",IFERROR(LET(nn,XLOOKUP(I87,Catalog[Name],Catalog[DmgN]),dd,XLOOKUP(I87,Catalog[Name],Catalog[DmgDie]),IF(dd=0,0,RANDBETWEEN(1,dd)+IF(nn&gt;=2,RANDBETWEEN(1,dd),0))),0),"")</f>
        <v/>
      </c>
      <c r="Q87" s="25">
        <f>IF(O87="Defender",IFERROR(LET(nn,XLOOKUP(J87,Catalog[Name],Catalog[CtrN]),dd,XLOOKUP(J87,Catalog[Name],Catalog[CtrDie]),IF(dd=0,0,RANDBETWEEN(1,dd)+IF(nn&gt;=2,RANDBETWEEN(1,dd),0))),0),"")</f>
        <v/>
      </c>
    </row>
    <row r="88">
      <c r="A88" s="23" t="n">
        <v>10</v>
      </c>
      <c r="B88" s="24" t="inlineStr">
        <is>
          <t>The Funginids</t>
        </is>
      </c>
      <c r="C88" s="25">
        <f>G79</f>
        <v/>
      </c>
      <c r="D88" s="25">
        <f>CEILING(XLOOKUP("The Funginids",FactionState[Faction],FactionState[Wealth])/2+XLOOKUP("The Funginids",FactionState[Faction],FactionState[Force])/4+XLOOKUP("The Funginids",FactionState[Faction],FactionState[Cunning])/4, 1)</f>
        <v/>
      </c>
      <c r="E88" s="25">
        <f>MAX(0,COUNTIFS(Register[Faction],"The Funginids",Register[Type],"Force")-XLOOKUP("The Funginids",FactionState[Faction],FactionState[Force]))+MAX(0,COUNTIFS(Register[Faction],"The Funginids",Register[Type],"Cunning")-XLOOKUP("The Funginids",FactionState[Faction],FactionState[Cunning]))+MAX(0,COUNTIFS(Register[Faction],"The Funginids",Register[Type],"Wealth")-XLOOKUP("The Funginids",FactionState[Faction],FactionState[Wealth]))+MAX(0,COUNTIFS(Register[Faction],"The Funginids",Register[Type],"Magic")-XLOOKUP("The Funginids",FactionState[Faction],FactionState[Magic]))</f>
        <v/>
      </c>
      <c r="F88" s="25">
        <f>IFERROR(VALUE('Action Sheet'!I87),0)</f>
        <v/>
      </c>
      <c r="G88" s="25">
        <f>C88+D88-E88-F88</f>
        <v/>
      </c>
      <c r="H88" s="25">
        <f>'Action Sheet'!D87</f>
        <v/>
      </c>
      <c r="I88" s="25">
        <f>'Action Sheet'!E87</f>
        <v/>
      </c>
      <c r="J88" s="25">
        <f>'Action Sheet'!H87</f>
        <v/>
      </c>
      <c r="K88" s="25">
        <f>IF(H88="Attack",RANDBETWEEN(1,10),"")</f>
        <v/>
      </c>
      <c r="L88" s="25">
        <f>IF(H88="Attack", K88+IFERROR(SWITCH(XLOOKUP(I88,Catalog[Name],Catalog[AtkAttr]),"Force",XLOOKUP("The Funginids",FactionState[Faction],FactionState[Force]),"Cunning",XLOOKUP("The Funginids",FactionState[Faction],FactionState[Cunning]),"Wealth",XLOOKUP("The Funginids",FactionState[Faction],FactionState[Wealth]),"Magic",XLOOKUP("The Funginids",FactionState[Faction],FactionState[Magic]),0),0),"")</f>
        <v/>
      </c>
      <c r="M88" s="25">
        <f>IF(H88="Attack",RANDBETWEEN(1,10),"")</f>
        <v/>
      </c>
      <c r="N88" s="25">
        <f>IF(H88="Attack", M88+IFERROR(LET(def_fac, XLOOKUP(J88,Register[Asset],Register[Faction]),def_attr, XLOOKUP(I88,Catalog[Name],Catalog[DefAttr]),SWITCH(def_attr,"Force",XLOOKUP(def_fac,FactionState[Faction],FactionState[Force]),"Cunning",XLOOKUP(def_fac,FactionState[Faction],FactionState[Cunning]),"Wealth",XLOOKUP(def_fac,FactionState[Faction],FactionState[Wealth]),"Magic",XLOOKUP(def_fac,FactionState[Faction],FactionState[Magic]),0)),0),"")</f>
        <v/>
      </c>
      <c r="O88" s="25">
        <f>IF(H88&lt;&gt;"Attack","",IF(AND(ISNUMBER(L88),ISNUMBER(N88)),IF(L88&gt;N88,"Attacker","Defender"),""))</f>
        <v/>
      </c>
      <c r="P88" s="25">
        <f>IF(O88="Attacker",IFERROR(LET(nn,XLOOKUP(I88,Catalog[Name],Catalog[DmgN]),dd,XLOOKUP(I88,Catalog[Name],Catalog[DmgDie]),IF(dd=0,0,RANDBETWEEN(1,dd)+IF(nn&gt;=2,RANDBETWEEN(1,dd),0))),0),"")</f>
        <v/>
      </c>
      <c r="Q88" s="25">
        <f>IF(O88="Defender",IFERROR(LET(nn,XLOOKUP(J88,Catalog[Name],Catalog[CtrN]),dd,XLOOKUP(J88,Catalog[Name],Catalog[CtrDie]),IF(dd=0,0,RANDBETWEEN(1,dd)+IF(nn&gt;=2,RANDBETWEEN(1,dd),0))),0),"")</f>
        <v/>
      </c>
    </row>
    <row r="89">
      <c r="A89" s="23" t="n">
        <v>10</v>
      </c>
      <c r="B89" s="24" t="inlineStr">
        <is>
          <t>The dErO</t>
        </is>
      </c>
      <c r="C89" s="25">
        <f>G80</f>
        <v/>
      </c>
      <c r="D89" s="25">
        <f>CEILING(XLOOKUP("The dErO",FactionState[Faction],FactionState[Wealth])/2+XLOOKUP("The dErO",FactionState[Faction],FactionState[Force])/4+XLOOKUP("The dErO",FactionState[Faction],FactionState[Cunning])/4, 1)</f>
        <v/>
      </c>
      <c r="E89" s="25">
        <f>MAX(0,COUNTIFS(Register[Faction],"The dErO",Register[Type],"Force")-XLOOKUP("The dErO",FactionState[Faction],FactionState[Force]))+MAX(0,COUNTIFS(Register[Faction],"The dErO",Register[Type],"Cunning")-XLOOKUP("The dErO",FactionState[Faction],FactionState[Cunning]))+MAX(0,COUNTIFS(Register[Faction],"The dErO",Register[Type],"Wealth")-XLOOKUP("The dErO",FactionState[Faction],FactionState[Wealth]))+MAX(0,COUNTIFS(Register[Faction],"The dErO",Register[Type],"Magic")-XLOOKUP("The dErO",FactionState[Faction],FactionState[Magic]))</f>
        <v/>
      </c>
      <c r="F89" s="25">
        <f>IFERROR(VALUE('Action Sheet'!I88),0)</f>
        <v/>
      </c>
      <c r="G89" s="25">
        <f>C89+D89-E89-F89</f>
        <v/>
      </c>
      <c r="H89" s="25">
        <f>'Action Sheet'!D88</f>
        <v/>
      </c>
      <c r="I89" s="25">
        <f>'Action Sheet'!E88</f>
        <v/>
      </c>
      <c r="J89" s="25">
        <f>'Action Sheet'!H88</f>
        <v/>
      </c>
      <c r="K89" s="25">
        <f>IF(H89="Attack",RANDBETWEEN(1,10),"")</f>
        <v/>
      </c>
      <c r="L89" s="25">
        <f>IF(H89="Attack", K89+IFERROR(SWITCH(XLOOKUP(I89,Catalog[Name],Catalog[AtkAttr]),"Force",XLOOKUP("The dErO",FactionState[Faction],FactionState[Force]),"Cunning",XLOOKUP("The dErO",FactionState[Faction],FactionState[Cunning]),"Wealth",XLOOKUP("The dErO",FactionState[Faction],FactionState[Wealth]),"Magic",XLOOKUP("The dErO",FactionState[Faction],FactionState[Magic]),0),0),"")</f>
        <v/>
      </c>
      <c r="M89" s="25">
        <f>IF(H89="Attack",RANDBETWEEN(1,10),"")</f>
        <v/>
      </c>
      <c r="N89" s="25">
        <f>IF(H89="Attack", M89+IFERROR(LET(def_fac, XLOOKUP(J89,Register[Asset],Register[Faction]),def_attr, XLOOKUP(I89,Catalog[Name],Catalog[DefAttr]),SWITCH(def_attr,"Force",XLOOKUP(def_fac,FactionState[Faction],FactionState[Force]),"Cunning",XLOOKUP(def_fac,FactionState[Faction],FactionState[Cunning]),"Wealth",XLOOKUP(def_fac,FactionState[Faction],FactionState[Wealth]),"Magic",XLOOKUP(def_fac,FactionState[Faction],FactionState[Magic]),0)),0),"")</f>
        <v/>
      </c>
      <c r="O89" s="25">
        <f>IF(H89&lt;&gt;"Attack","",IF(AND(ISNUMBER(L89),ISNUMBER(N89)),IF(L89&gt;N89,"Attacker","Defender"),""))</f>
        <v/>
      </c>
      <c r="P89" s="25">
        <f>IF(O89="Attacker",IFERROR(LET(nn,XLOOKUP(I89,Catalog[Name],Catalog[DmgN]),dd,XLOOKUP(I89,Catalog[Name],Catalog[DmgDie]),IF(dd=0,0,RANDBETWEEN(1,dd)+IF(nn&gt;=2,RANDBETWEEN(1,dd),0))),0),"")</f>
        <v/>
      </c>
      <c r="Q89" s="25">
        <f>IF(O89="Defender",IFERROR(LET(nn,XLOOKUP(J89,Catalog[Name],Catalog[CtrN]),dd,XLOOKUP(J89,Catalog[Name],Catalog[CtrDie]),IF(dd=0,0,RANDBETWEEN(1,dd)+IF(nn&gt;=2,RANDBETWEEN(1,dd),0))),0),"")</f>
        <v/>
      </c>
    </row>
    <row r="90">
      <c r="A90" s="23" t="n">
        <v>10</v>
      </c>
      <c r="B90" s="24" t="inlineStr">
        <is>
          <t>The Dvargir</t>
        </is>
      </c>
      <c r="C90" s="25">
        <f>G81</f>
        <v/>
      </c>
      <c r="D90" s="25">
        <f>CEILING(XLOOKUP("The Dvargir",FactionState[Faction],FactionState[Wealth])/2+XLOOKUP("The Dvargir",FactionState[Faction],FactionState[Force])/4+XLOOKUP("The Dvargir",FactionState[Faction],FactionState[Cunning])/4, 1)</f>
        <v/>
      </c>
      <c r="E90" s="25">
        <f>MAX(0,COUNTIFS(Register[Faction],"The Dvargir",Register[Type],"Force")-XLOOKUP("The Dvargir",FactionState[Faction],FactionState[Force]))+MAX(0,COUNTIFS(Register[Faction],"The Dvargir",Register[Type],"Cunning")-XLOOKUP("The Dvargir",FactionState[Faction],FactionState[Cunning]))+MAX(0,COUNTIFS(Register[Faction],"The Dvargir",Register[Type],"Wealth")-XLOOKUP("The Dvargir",FactionState[Faction],FactionState[Wealth]))+MAX(0,COUNTIFS(Register[Faction],"The Dvargir",Register[Type],"Magic")-XLOOKUP("The Dvargir",FactionState[Faction],FactionState[Magic]))</f>
        <v/>
      </c>
      <c r="F90" s="25">
        <f>IFERROR(VALUE('Action Sheet'!I89),0)</f>
        <v/>
      </c>
      <c r="G90" s="25">
        <f>C90+D90-E90-F90</f>
        <v/>
      </c>
      <c r="H90" s="25">
        <f>'Action Sheet'!D89</f>
        <v/>
      </c>
      <c r="I90" s="25">
        <f>'Action Sheet'!E89</f>
        <v/>
      </c>
      <c r="J90" s="25">
        <f>'Action Sheet'!H89</f>
        <v/>
      </c>
      <c r="K90" s="25">
        <f>IF(H90="Attack",RANDBETWEEN(1,10),"")</f>
        <v/>
      </c>
      <c r="L90" s="25">
        <f>IF(H90="Attack", K90+IFERROR(SWITCH(XLOOKUP(I90,Catalog[Name],Catalog[AtkAttr]),"Force",XLOOKUP("The Dvargir",FactionState[Faction],FactionState[Force]),"Cunning",XLOOKUP("The Dvargir",FactionState[Faction],FactionState[Cunning]),"Wealth",XLOOKUP("The Dvargir",FactionState[Faction],FactionState[Wealth]),"Magic",XLOOKUP("The Dvargir",FactionState[Faction],FactionState[Magic]),0),0),"")</f>
        <v/>
      </c>
      <c r="M90" s="25">
        <f>IF(H90="Attack",RANDBETWEEN(1,10),"")</f>
        <v/>
      </c>
      <c r="N90" s="25">
        <f>IF(H90="Attack", M90+IFERROR(LET(def_fac, XLOOKUP(J90,Register[Asset],Register[Faction]),def_attr, XLOOKUP(I90,Catalog[Name],Catalog[DefAttr]),SWITCH(def_attr,"Force",XLOOKUP(def_fac,FactionState[Faction],FactionState[Force]),"Cunning",XLOOKUP(def_fac,FactionState[Faction],FactionState[Cunning]),"Wealth",XLOOKUP(def_fac,FactionState[Faction],FactionState[Wealth]),"Magic",XLOOKUP(def_fac,FactionState[Faction],FactionState[Magic]),0)),0),"")</f>
        <v/>
      </c>
      <c r="O90" s="25">
        <f>IF(H90&lt;&gt;"Attack","",IF(AND(ISNUMBER(L90),ISNUMBER(N90)),IF(L90&gt;N90,"Attacker","Defender"),""))</f>
        <v/>
      </c>
      <c r="P90" s="25">
        <f>IF(O90="Attacker",IFERROR(LET(nn,XLOOKUP(I90,Catalog[Name],Catalog[DmgN]),dd,XLOOKUP(I90,Catalog[Name],Catalog[DmgDie]),IF(dd=0,0,RANDBETWEEN(1,dd)+IF(nn&gt;=2,RANDBETWEEN(1,dd),0))),0),"")</f>
        <v/>
      </c>
      <c r="Q90" s="25">
        <f>IF(O90="Defender",IFERROR(LET(nn,XLOOKUP(J90,Catalog[Name],Catalog[CtrN]),dd,XLOOKUP(J90,Catalog[Name],Catalog[CtrDie]),IF(dd=0,0,RANDBETWEEN(1,dd)+IF(nn&gt;=2,RANDBETWEEN(1,dd),0))),0),"")</f>
        <v/>
      </c>
    </row>
    <row r="91">
      <c r="A91" s="23" t="n">
        <v>10</v>
      </c>
      <c r="B91" s="24" t="inlineStr">
        <is>
          <t>The Gnonmen</t>
        </is>
      </c>
      <c r="C91" s="25">
        <f>G82</f>
        <v/>
      </c>
      <c r="D91" s="25">
        <f>CEILING(XLOOKUP("The Gnonmen",FactionState[Faction],FactionState[Wealth])/2+XLOOKUP("The Gnonmen",FactionState[Faction],FactionState[Force])/4+XLOOKUP("The Gnonmen",FactionState[Faction],FactionState[Cunning])/4, 1)</f>
        <v/>
      </c>
      <c r="E91" s="25">
        <f>MAX(0,COUNTIFS(Register[Faction],"The Gnonmen",Register[Type],"Force")-XLOOKUP("The Gnonmen",FactionState[Faction],FactionState[Force]))+MAX(0,COUNTIFS(Register[Faction],"The Gnonmen",Register[Type],"Cunning")-XLOOKUP("The Gnonmen",FactionState[Faction],FactionState[Cunning]))+MAX(0,COUNTIFS(Register[Faction],"The Gnonmen",Register[Type],"Wealth")-XLOOKUP("The Gnonmen",FactionState[Faction],FactionState[Wealth]))+MAX(0,COUNTIFS(Register[Faction],"The Gnonmen",Register[Type],"Magic")-XLOOKUP("The Gnonmen",FactionState[Faction],FactionState[Magic]))</f>
        <v/>
      </c>
      <c r="F91" s="25">
        <f>IFERROR(VALUE('Action Sheet'!I90),0)</f>
        <v/>
      </c>
      <c r="G91" s="25">
        <f>C91+D91-E91-F91</f>
        <v/>
      </c>
      <c r="H91" s="25">
        <f>'Action Sheet'!D90</f>
        <v/>
      </c>
      <c r="I91" s="25">
        <f>'Action Sheet'!E90</f>
        <v/>
      </c>
      <c r="J91" s="25">
        <f>'Action Sheet'!H90</f>
        <v/>
      </c>
      <c r="K91" s="25">
        <f>IF(H91="Attack",RANDBETWEEN(1,10),"")</f>
        <v/>
      </c>
      <c r="L91" s="25">
        <f>IF(H91="Attack", K91+IFERROR(SWITCH(XLOOKUP(I91,Catalog[Name],Catalog[AtkAttr]),"Force",XLOOKUP("The Gnonmen",FactionState[Faction],FactionState[Force]),"Cunning",XLOOKUP("The Gnonmen",FactionState[Faction],FactionState[Cunning]),"Wealth",XLOOKUP("The Gnonmen",FactionState[Faction],FactionState[Wealth]),"Magic",XLOOKUP("The Gnonmen",FactionState[Faction],FactionState[Magic]),0),0),"")</f>
        <v/>
      </c>
      <c r="M91" s="25">
        <f>IF(H91="Attack",RANDBETWEEN(1,10),"")</f>
        <v/>
      </c>
      <c r="N91" s="25">
        <f>IF(H91="Attack", M91+IFERROR(LET(def_fac, XLOOKUP(J91,Register[Asset],Register[Faction]),def_attr, XLOOKUP(I91,Catalog[Name],Catalog[DefAttr]),SWITCH(def_attr,"Force",XLOOKUP(def_fac,FactionState[Faction],FactionState[Force]),"Cunning",XLOOKUP(def_fac,FactionState[Faction],FactionState[Cunning]),"Wealth",XLOOKUP(def_fac,FactionState[Faction],FactionState[Wealth]),"Magic",XLOOKUP(def_fac,FactionState[Faction],FactionState[Magic]),0)),0),"")</f>
        <v/>
      </c>
      <c r="O91" s="25">
        <f>IF(H91&lt;&gt;"Attack","",IF(AND(ISNUMBER(L91),ISNUMBER(N91)),IF(L91&gt;N91,"Attacker","Defender"),""))</f>
        <v/>
      </c>
      <c r="P91" s="25">
        <f>IF(O91="Attacker",IFERROR(LET(nn,XLOOKUP(I91,Catalog[Name],Catalog[DmgN]),dd,XLOOKUP(I91,Catalog[Name],Catalog[DmgDie]),IF(dd=0,0,RANDBETWEEN(1,dd)+IF(nn&gt;=2,RANDBETWEEN(1,dd),0))),0),"")</f>
        <v/>
      </c>
      <c r="Q91" s="25">
        <f>IF(O91="Defender",IFERROR(LET(nn,XLOOKUP(J91,Catalog[Name],Catalog[CtrN]),dd,XLOOKUP(J91,Catalog[Name],Catalog[CtrDie]),IF(dd=0,0,RANDBETWEEN(1,dd)+IF(nn&gt;=2,RANDBETWEEN(1,dd),0))),0),"")</f>
        <v/>
      </c>
    </row>
    <row r="92">
      <c r="A92" s="23" t="n">
        <v>10</v>
      </c>
      <c r="B92" s="24" t="inlineStr">
        <is>
          <t>The Substratals</t>
        </is>
      </c>
      <c r="C92" s="25">
        <f>G83</f>
        <v/>
      </c>
      <c r="D92" s="25">
        <f>CEILING(XLOOKUP("The Substratals",FactionState[Faction],FactionState[Wealth])/2+XLOOKUP("The Substratals",FactionState[Faction],FactionState[Force])/4+XLOOKUP("The Substratals",FactionState[Faction],FactionState[Cunning])/4, 1)</f>
        <v/>
      </c>
      <c r="E92" s="25">
        <f>MAX(0,COUNTIFS(Register[Faction],"The Substratals",Register[Type],"Force")-XLOOKUP("The Substratals",FactionState[Faction],FactionState[Force]))+MAX(0,COUNTIFS(Register[Faction],"The Substratals",Register[Type],"Cunning")-XLOOKUP("The Substratals",FactionState[Faction],FactionState[Cunning]))+MAX(0,COUNTIFS(Register[Faction],"The Substratals",Register[Type],"Wealth")-XLOOKUP("The Substratals",FactionState[Faction],FactionState[Wealth]))+MAX(0,COUNTIFS(Register[Faction],"The Substratals",Register[Type],"Magic")-XLOOKUP("The Substratals",FactionState[Faction],FactionState[Magic]))</f>
        <v/>
      </c>
      <c r="F92" s="25">
        <f>IFERROR(VALUE('Action Sheet'!I91),0)</f>
        <v/>
      </c>
      <c r="G92" s="25">
        <f>C92+D92-E92-F92</f>
        <v/>
      </c>
      <c r="H92" s="25">
        <f>'Action Sheet'!D91</f>
        <v/>
      </c>
      <c r="I92" s="25">
        <f>'Action Sheet'!E91</f>
        <v/>
      </c>
      <c r="J92" s="25">
        <f>'Action Sheet'!H91</f>
        <v/>
      </c>
      <c r="K92" s="25">
        <f>IF(H92="Attack",RANDBETWEEN(1,10),"")</f>
        <v/>
      </c>
      <c r="L92" s="25">
        <f>IF(H92="Attack", K92+IFERROR(SWITCH(XLOOKUP(I92,Catalog[Name],Catalog[AtkAttr]),"Force",XLOOKUP("The Substratals",FactionState[Faction],FactionState[Force]),"Cunning",XLOOKUP("The Substratals",FactionState[Faction],FactionState[Cunning]),"Wealth",XLOOKUP("The Substratals",FactionState[Faction],FactionState[Wealth]),"Magic",XLOOKUP("The Substratals",FactionState[Faction],FactionState[Magic]),0),0),"")</f>
        <v/>
      </c>
      <c r="M92" s="25">
        <f>IF(H92="Attack",RANDBETWEEN(1,10),"")</f>
        <v/>
      </c>
      <c r="N92" s="25">
        <f>IF(H92="Attack", M92+IFERROR(LET(def_fac, XLOOKUP(J92,Register[Asset],Register[Faction]),def_attr, XLOOKUP(I92,Catalog[Name],Catalog[DefAttr]),SWITCH(def_attr,"Force",XLOOKUP(def_fac,FactionState[Faction],FactionState[Force]),"Cunning",XLOOKUP(def_fac,FactionState[Faction],FactionState[Cunning]),"Wealth",XLOOKUP(def_fac,FactionState[Faction],FactionState[Wealth]),"Magic",XLOOKUP(def_fac,FactionState[Faction],FactionState[Magic]),0)),0),"")</f>
        <v/>
      </c>
      <c r="O92" s="25">
        <f>IF(H92&lt;&gt;"Attack","",IF(AND(ISNUMBER(L92),ISNUMBER(N92)),IF(L92&gt;N92,"Attacker","Defender"),""))</f>
        <v/>
      </c>
      <c r="P92" s="25">
        <f>IF(O92="Attacker",IFERROR(LET(nn,XLOOKUP(I92,Catalog[Name],Catalog[DmgN]),dd,XLOOKUP(I92,Catalog[Name],Catalog[DmgDie]),IF(dd=0,0,RANDBETWEEN(1,dd)+IF(nn&gt;=2,RANDBETWEEN(1,dd),0))),0),"")</f>
        <v/>
      </c>
      <c r="Q92" s="25">
        <f>IF(O92="Defender",IFERROR(LET(nn,XLOOKUP(J92,Catalog[Name],Catalog[CtrN]),dd,XLOOKUP(J92,Catalog[Name],Catalog[CtrDie]),IF(dd=0,0,RANDBETWEEN(1,dd)+IF(nn&gt;=2,RANDBETWEEN(1,dd),0))),0),"")</f>
        <v/>
      </c>
    </row>
    <row r="93">
      <c r="A93" s="23" t="n">
        <v>10</v>
      </c>
      <c r="B93" s="24" t="inlineStr">
        <is>
          <t>The Deep Janeen</t>
        </is>
      </c>
      <c r="C93" s="25">
        <f>G84</f>
        <v/>
      </c>
      <c r="D93" s="25">
        <f>CEILING(XLOOKUP("The Deep Janeen",FactionState[Faction],FactionState[Wealth])/2+XLOOKUP("The Deep Janeen",FactionState[Faction],FactionState[Force])/4+XLOOKUP("The Deep Janeen",FactionState[Faction],FactionState[Cunning])/4, 1)</f>
        <v/>
      </c>
      <c r="E93" s="25">
        <f>MAX(0,COUNTIFS(Register[Faction],"The Deep Janeen",Register[Type],"Force")-XLOOKUP("The Deep Janeen",FactionState[Faction],FactionState[Force]))+MAX(0,COUNTIFS(Register[Faction],"The Deep Janeen",Register[Type],"Cunning")-XLOOKUP("The Deep Janeen",FactionState[Faction],FactionState[Cunning]))+MAX(0,COUNTIFS(Register[Faction],"The Deep Janeen",Register[Type],"Wealth")-XLOOKUP("The Deep Janeen",FactionState[Faction],FactionState[Wealth]))+MAX(0,COUNTIFS(Register[Faction],"The Deep Janeen",Register[Type],"Magic")-XLOOKUP("The Deep Janeen",FactionState[Faction],FactionState[Magic]))</f>
        <v/>
      </c>
      <c r="F93" s="25">
        <f>IFERROR(VALUE('Action Sheet'!I92),0)</f>
        <v/>
      </c>
      <c r="G93" s="25">
        <f>C93+D93-E93-F93</f>
        <v/>
      </c>
      <c r="H93" s="25">
        <f>'Action Sheet'!D92</f>
        <v/>
      </c>
      <c r="I93" s="25">
        <f>'Action Sheet'!E92</f>
        <v/>
      </c>
      <c r="J93" s="25">
        <f>'Action Sheet'!H92</f>
        <v/>
      </c>
      <c r="K93" s="25">
        <f>IF(H93="Attack",RANDBETWEEN(1,10),"")</f>
        <v/>
      </c>
      <c r="L93" s="25">
        <f>IF(H93="Attack", K93+IFERROR(SWITCH(XLOOKUP(I93,Catalog[Name],Catalog[AtkAttr]),"Force",XLOOKUP("The Deep Janeen",FactionState[Faction],FactionState[Force]),"Cunning",XLOOKUP("The Deep Janeen",FactionState[Faction],FactionState[Cunning]),"Wealth",XLOOKUP("The Deep Janeen",FactionState[Faction],FactionState[Wealth]),"Magic",XLOOKUP("The Deep Janeen",FactionState[Faction],FactionState[Magic]),0),0),"")</f>
        <v/>
      </c>
      <c r="M93" s="25">
        <f>IF(H93="Attack",RANDBETWEEN(1,10),"")</f>
        <v/>
      </c>
      <c r="N93" s="25">
        <f>IF(H93="Attack", M93+IFERROR(LET(def_fac, XLOOKUP(J93,Register[Asset],Register[Faction]),def_attr, XLOOKUP(I93,Catalog[Name],Catalog[DefAttr]),SWITCH(def_attr,"Force",XLOOKUP(def_fac,FactionState[Faction],FactionState[Force]),"Cunning",XLOOKUP(def_fac,FactionState[Faction],FactionState[Cunning]),"Wealth",XLOOKUP(def_fac,FactionState[Faction],FactionState[Wealth]),"Magic",XLOOKUP(def_fac,FactionState[Faction],FactionState[Magic]),0)),0),"")</f>
        <v/>
      </c>
      <c r="O93" s="25">
        <f>IF(H93&lt;&gt;"Attack","",IF(AND(ISNUMBER(L93),ISNUMBER(N93)),IF(L93&gt;N93,"Attacker","Defender"),""))</f>
        <v/>
      </c>
      <c r="P93" s="25">
        <f>IF(O93="Attacker",IFERROR(LET(nn,XLOOKUP(I93,Catalog[Name],Catalog[DmgN]),dd,XLOOKUP(I93,Catalog[Name],Catalog[DmgDie]),IF(dd=0,0,RANDBETWEEN(1,dd)+IF(nn&gt;=2,RANDBETWEEN(1,dd),0))),0),"")</f>
        <v/>
      </c>
      <c r="Q93" s="25">
        <f>IF(O93="Defender",IFERROR(LET(nn,XLOOKUP(J93,Catalog[Name],Catalog[CtrN]),dd,XLOOKUP(J93,Catalog[Name],Catalog[CtrDie]),IF(dd=0,0,RANDBETWEEN(1,dd)+IF(nn&gt;=2,RANDBETWEEN(1,dd),0))),0),"")</f>
        <v/>
      </c>
    </row>
    <row r="94">
      <c r="A94" s="23" t="n">
        <v>10</v>
      </c>
      <c r="B94" s="24" t="inlineStr">
        <is>
          <t>The Olm</t>
        </is>
      </c>
      <c r="C94" s="25">
        <f>G85</f>
        <v/>
      </c>
      <c r="D94" s="25">
        <f>CEILING(XLOOKUP("The Olm",FactionState[Faction],FactionState[Wealth])/2+XLOOKUP("The Olm",FactionState[Faction],FactionState[Force])/4+XLOOKUP("The Olm",FactionState[Faction],FactionState[Cunning])/4, 1)</f>
        <v/>
      </c>
      <c r="E94" s="25">
        <f>MAX(0,COUNTIFS(Register[Faction],"The Olm",Register[Type],"Force")-XLOOKUP("The Olm",FactionState[Faction],FactionState[Force]))+MAX(0,COUNTIFS(Register[Faction],"The Olm",Register[Type],"Cunning")-XLOOKUP("The Olm",FactionState[Faction],FactionState[Cunning]))+MAX(0,COUNTIFS(Register[Faction],"The Olm",Register[Type],"Wealth")-XLOOKUP("The Olm",FactionState[Faction],FactionState[Wealth]))+MAX(0,COUNTIFS(Register[Faction],"The Olm",Register[Type],"Magic")-XLOOKUP("The Olm",FactionState[Faction],FactionState[Magic]))</f>
        <v/>
      </c>
      <c r="F94" s="25">
        <f>IFERROR(VALUE('Action Sheet'!I93),0)</f>
        <v/>
      </c>
      <c r="G94" s="25">
        <f>C94+D94-E94-F94</f>
        <v/>
      </c>
      <c r="H94" s="25">
        <f>'Action Sheet'!D93</f>
        <v/>
      </c>
      <c r="I94" s="25">
        <f>'Action Sheet'!E93</f>
        <v/>
      </c>
      <c r="J94" s="25">
        <f>'Action Sheet'!H93</f>
        <v/>
      </c>
      <c r="K94" s="25">
        <f>IF(H94="Attack",RANDBETWEEN(1,10),"")</f>
        <v/>
      </c>
      <c r="L94" s="25">
        <f>IF(H94="Attack", K94+IFERROR(SWITCH(XLOOKUP(I94,Catalog[Name],Catalog[AtkAttr]),"Force",XLOOKUP("The Olm",FactionState[Faction],FactionState[Force]),"Cunning",XLOOKUP("The Olm",FactionState[Faction],FactionState[Cunning]),"Wealth",XLOOKUP("The Olm",FactionState[Faction],FactionState[Wealth]),"Magic",XLOOKUP("The Olm",FactionState[Faction],FactionState[Magic]),0),0),"")</f>
        <v/>
      </c>
      <c r="M94" s="25">
        <f>IF(H94="Attack",RANDBETWEEN(1,10),"")</f>
        <v/>
      </c>
      <c r="N94" s="25">
        <f>IF(H94="Attack", M94+IFERROR(LET(def_fac, XLOOKUP(J94,Register[Asset],Register[Faction]),def_attr, XLOOKUP(I94,Catalog[Name],Catalog[DefAttr]),SWITCH(def_attr,"Force",XLOOKUP(def_fac,FactionState[Faction],FactionState[Force]),"Cunning",XLOOKUP(def_fac,FactionState[Faction],FactionState[Cunning]),"Wealth",XLOOKUP(def_fac,FactionState[Faction],FactionState[Wealth]),"Magic",XLOOKUP(def_fac,FactionState[Faction],FactionState[Magic]),0)),0),"")</f>
        <v/>
      </c>
      <c r="O94" s="25">
        <f>IF(H94&lt;&gt;"Attack","",IF(AND(ISNUMBER(L94),ISNUMBER(N94)),IF(L94&gt;N94,"Attacker","Defender"),""))</f>
        <v/>
      </c>
      <c r="P94" s="25">
        <f>IF(O94="Attacker",IFERROR(LET(nn,XLOOKUP(I94,Catalog[Name],Catalog[DmgN]),dd,XLOOKUP(I94,Catalog[Name],Catalog[DmgDie]),IF(dd=0,0,RANDBETWEEN(1,dd)+IF(nn&gt;=2,RANDBETWEEN(1,dd),0))),0),"")</f>
        <v/>
      </c>
      <c r="Q94" s="25">
        <f>IF(O94="Defender",IFERROR(LET(nn,XLOOKUP(J94,Catalog[Name],Catalog[CtrN]),dd,XLOOKUP(J94,Catalog[Name],Catalog[CtrDie]),IF(dd=0,0,RANDBETWEEN(1,dd)+IF(nn&gt;=2,RANDBETWEEN(1,dd),0))),0),"")</f>
        <v/>
      </c>
    </row>
    <row r="95">
      <c r="A95" s="20" t="n">
        <v>11</v>
      </c>
      <c r="B95" s="21" t="inlineStr">
        <is>
          <t>The Knotsmen</t>
        </is>
      </c>
      <c r="C95" s="22">
        <f>G86</f>
        <v/>
      </c>
      <c r="D95" s="22">
        <f>CEILING(XLOOKUP("The Knotsmen",FactionState[Faction],FactionState[Wealth])/2+XLOOKUP("The Knotsmen",FactionState[Faction],FactionState[Force])/4+XLOOKUP("The Knotsmen",FactionState[Faction],FactionState[Cunning])/4, 1)</f>
        <v/>
      </c>
      <c r="E95" s="22">
        <f>MAX(0,COUNTIFS(Register[Faction],"The Knotsmen",Register[Type],"Force")-XLOOKUP("The Knotsmen",FactionState[Faction],FactionState[Force]))+MAX(0,COUNTIFS(Register[Faction],"The Knotsmen",Register[Type],"Cunning")-XLOOKUP("The Knotsmen",FactionState[Faction],FactionState[Cunning]))+MAX(0,COUNTIFS(Register[Faction],"The Knotsmen",Register[Type],"Wealth")-XLOOKUP("The Knotsmen",FactionState[Faction],FactionState[Wealth]))+MAX(0,COUNTIFS(Register[Faction],"The Knotsmen",Register[Type],"Magic")-XLOOKUP("The Knotsmen",FactionState[Faction],FactionState[Magic]))</f>
        <v/>
      </c>
      <c r="F95" s="22">
        <f>IFERROR(VALUE('Action Sheet'!I94),0)</f>
        <v/>
      </c>
      <c r="G95" s="22">
        <f>C95+D95-E95-F95</f>
        <v/>
      </c>
      <c r="H95" s="22">
        <f>'Action Sheet'!D94</f>
        <v/>
      </c>
      <c r="I95" s="22">
        <f>'Action Sheet'!E94</f>
        <v/>
      </c>
      <c r="J95" s="22">
        <f>'Action Sheet'!H94</f>
        <v/>
      </c>
      <c r="K95" s="22">
        <f>IF(H95="Attack",RANDBETWEEN(1,10),"")</f>
        <v/>
      </c>
      <c r="L95" s="22">
        <f>IF(H95="Attack", K95+IFERROR(SWITCH(XLOOKUP(I95,Catalog[Name],Catalog[AtkAttr]),"Force",XLOOKUP("The Knotsmen",FactionState[Faction],FactionState[Force]),"Cunning",XLOOKUP("The Knotsmen",FactionState[Faction],FactionState[Cunning]),"Wealth",XLOOKUP("The Knotsmen",FactionState[Faction],FactionState[Wealth]),"Magic",XLOOKUP("The Knotsmen",FactionState[Faction],FactionState[Magic]),0),0),"")</f>
        <v/>
      </c>
      <c r="M95" s="22">
        <f>IF(H95="Attack",RANDBETWEEN(1,10),"")</f>
        <v/>
      </c>
      <c r="N95" s="22">
        <f>IF(H95="Attack", M95+IFERROR(LET(def_fac, XLOOKUP(J95,Register[Asset],Register[Faction]),def_attr, XLOOKUP(I95,Catalog[Name],Catalog[DefAttr]),SWITCH(def_attr,"Force",XLOOKUP(def_fac,FactionState[Faction],FactionState[Force]),"Cunning",XLOOKUP(def_fac,FactionState[Faction],FactionState[Cunning]),"Wealth",XLOOKUP(def_fac,FactionState[Faction],FactionState[Wealth]),"Magic",XLOOKUP(def_fac,FactionState[Faction],FactionState[Magic]),0)),0),"")</f>
        <v/>
      </c>
      <c r="O95" s="22">
        <f>IF(H95&lt;&gt;"Attack","",IF(AND(ISNUMBER(L95),ISNUMBER(N95)),IF(L95&gt;N95,"Attacker","Defender"),""))</f>
        <v/>
      </c>
      <c r="P95" s="22">
        <f>IF(O95="Attacker",IFERROR(LET(nn,XLOOKUP(I95,Catalog[Name],Catalog[DmgN]),dd,XLOOKUP(I95,Catalog[Name],Catalog[DmgDie]),IF(dd=0,0,RANDBETWEEN(1,dd)+IF(nn&gt;=2,RANDBETWEEN(1,dd),0))),0),"")</f>
        <v/>
      </c>
      <c r="Q95" s="22">
        <f>IF(O95="Defender",IFERROR(LET(nn,XLOOKUP(J95,Catalog[Name],Catalog[CtrN]),dd,XLOOKUP(J95,Catalog[Name],Catalog[CtrDie]),IF(dd=0,0,RANDBETWEEN(1,dd)+IF(nn&gt;=2,RANDBETWEEN(1,dd),0))),0),"")</f>
        <v/>
      </c>
    </row>
    <row r="96">
      <c r="A96" s="20" t="n">
        <v>11</v>
      </c>
      <c r="B96" s="21" t="inlineStr">
        <is>
          <t>The Aelf-Adal</t>
        </is>
      </c>
      <c r="C96" s="22">
        <f>G87</f>
        <v/>
      </c>
      <c r="D96" s="22">
        <f>CEILING(XLOOKUP("The Aelf-Adal",FactionState[Faction],FactionState[Wealth])/2+XLOOKUP("The Aelf-Adal",FactionState[Faction],FactionState[Force])/4+XLOOKUP("The Aelf-Adal",FactionState[Faction],FactionState[Cunning])/4, 1)</f>
        <v/>
      </c>
      <c r="E96" s="22">
        <f>MAX(0,COUNTIFS(Register[Faction],"The Aelf-Adal",Register[Type],"Force")-XLOOKUP("The Aelf-Adal",FactionState[Faction],FactionState[Force]))+MAX(0,COUNTIFS(Register[Faction],"The Aelf-Adal",Register[Type],"Cunning")-XLOOKUP("The Aelf-Adal",FactionState[Faction],FactionState[Cunning]))+MAX(0,COUNTIFS(Register[Faction],"The Aelf-Adal",Register[Type],"Wealth")-XLOOKUP("The Aelf-Adal",FactionState[Faction],FactionState[Wealth]))+MAX(0,COUNTIFS(Register[Faction],"The Aelf-Adal",Register[Type],"Magic")-XLOOKUP("The Aelf-Adal",FactionState[Faction],FactionState[Magic]))</f>
        <v/>
      </c>
      <c r="F96" s="22">
        <f>IFERROR(VALUE('Action Sheet'!I95),0)</f>
        <v/>
      </c>
      <c r="G96" s="22">
        <f>C96+D96-E96-F96</f>
        <v/>
      </c>
      <c r="H96" s="22">
        <f>'Action Sheet'!D95</f>
        <v/>
      </c>
      <c r="I96" s="22">
        <f>'Action Sheet'!E95</f>
        <v/>
      </c>
      <c r="J96" s="22">
        <f>'Action Sheet'!H95</f>
        <v/>
      </c>
      <c r="K96" s="22">
        <f>IF(H96="Attack",RANDBETWEEN(1,10),"")</f>
        <v/>
      </c>
      <c r="L96" s="22">
        <f>IF(H96="Attack", K96+IFERROR(SWITCH(XLOOKUP(I96,Catalog[Name],Catalog[AtkAttr]),"Force",XLOOKUP("The Aelf-Adal",FactionState[Faction],FactionState[Force]),"Cunning",XLOOKUP("The Aelf-Adal",FactionState[Faction],FactionState[Cunning]),"Wealth",XLOOKUP("The Aelf-Adal",FactionState[Faction],FactionState[Wealth]),"Magic",XLOOKUP("The Aelf-Adal",FactionState[Faction],FactionState[Magic]),0),0),"")</f>
        <v/>
      </c>
      <c r="M96" s="22">
        <f>IF(H96="Attack",RANDBETWEEN(1,10),"")</f>
        <v/>
      </c>
      <c r="N96" s="22">
        <f>IF(H96="Attack", M96+IFERROR(LET(def_fac, XLOOKUP(J96,Register[Asset],Register[Faction]),def_attr, XLOOKUP(I96,Catalog[Name],Catalog[DefAttr]),SWITCH(def_attr,"Force",XLOOKUP(def_fac,FactionState[Faction],FactionState[Force]),"Cunning",XLOOKUP(def_fac,FactionState[Faction],FactionState[Cunning]),"Wealth",XLOOKUP(def_fac,FactionState[Faction],FactionState[Wealth]),"Magic",XLOOKUP(def_fac,FactionState[Faction],FactionState[Magic]),0)),0),"")</f>
        <v/>
      </c>
      <c r="O96" s="22">
        <f>IF(H96&lt;&gt;"Attack","",IF(AND(ISNUMBER(L96),ISNUMBER(N96)),IF(L96&gt;N96,"Attacker","Defender"),""))</f>
        <v/>
      </c>
      <c r="P96" s="22">
        <f>IF(O96="Attacker",IFERROR(LET(nn,XLOOKUP(I96,Catalog[Name],Catalog[DmgN]),dd,XLOOKUP(I96,Catalog[Name],Catalog[DmgDie]),IF(dd=0,0,RANDBETWEEN(1,dd)+IF(nn&gt;=2,RANDBETWEEN(1,dd),0))),0),"")</f>
        <v/>
      </c>
      <c r="Q96" s="22">
        <f>IF(O96="Defender",IFERROR(LET(nn,XLOOKUP(J96,Catalog[Name],Catalog[CtrN]),dd,XLOOKUP(J96,Catalog[Name],Catalog[CtrDie]),IF(dd=0,0,RANDBETWEEN(1,dd)+IF(nn&gt;=2,RANDBETWEEN(1,dd),0))),0),"")</f>
        <v/>
      </c>
    </row>
    <row r="97">
      <c r="A97" s="20" t="n">
        <v>11</v>
      </c>
      <c r="B97" s="21" t="inlineStr">
        <is>
          <t>The Funginids</t>
        </is>
      </c>
      <c r="C97" s="22">
        <f>G88</f>
        <v/>
      </c>
      <c r="D97" s="22">
        <f>CEILING(XLOOKUP("The Funginids",FactionState[Faction],FactionState[Wealth])/2+XLOOKUP("The Funginids",FactionState[Faction],FactionState[Force])/4+XLOOKUP("The Funginids",FactionState[Faction],FactionState[Cunning])/4, 1)</f>
        <v/>
      </c>
      <c r="E97" s="22">
        <f>MAX(0,COUNTIFS(Register[Faction],"The Funginids",Register[Type],"Force")-XLOOKUP("The Funginids",FactionState[Faction],FactionState[Force]))+MAX(0,COUNTIFS(Register[Faction],"The Funginids",Register[Type],"Cunning")-XLOOKUP("The Funginids",FactionState[Faction],FactionState[Cunning]))+MAX(0,COUNTIFS(Register[Faction],"The Funginids",Register[Type],"Wealth")-XLOOKUP("The Funginids",FactionState[Faction],FactionState[Wealth]))+MAX(0,COUNTIFS(Register[Faction],"The Funginids",Register[Type],"Magic")-XLOOKUP("The Funginids",FactionState[Faction],FactionState[Magic]))</f>
        <v/>
      </c>
      <c r="F97" s="22">
        <f>IFERROR(VALUE('Action Sheet'!I96),0)</f>
        <v/>
      </c>
      <c r="G97" s="22">
        <f>C97+D97-E97-F97</f>
        <v/>
      </c>
      <c r="H97" s="22">
        <f>'Action Sheet'!D96</f>
        <v/>
      </c>
      <c r="I97" s="22">
        <f>'Action Sheet'!E96</f>
        <v/>
      </c>
      <c r="J97" s="22">
        <f>'Action Sheet'!H96</f>
        <v/>
      </c>
      <c r="K97" s="22">
        <f>IF(H97="Attack",RANDBETWEEN(1,10),"")</f>
        <v/>
      </c>
      <c r="L97" s="22">
        <f>IF(H97="Attack", K97+IFERROR(SWITCH(XLOOKUP(I97,Catalog[Name],Catalog[AtkAttr]),"Force",XLOOKUP("The Funginids",FactionState[Faction],FactionState[Force]),"Cunning",XLOOKUP("The Funginids",FactionState[Faction],FactionState[Cunning]),"Wealth",XLOOKUP("The Funginids",FactionState[Faction],FactionState[Wealth]),"Magic",XLOOKUP("The Funginids",FactionState[Faction],FactionState[Magic]),0),0),"")</f>
        <v/>
      </c>
      <c r="M97" s="22">
        <f>IF(H97="Attack",RANDBETWEEN(1,10),"")</f>
        <v/>
      </c>
      <c r="N97" s="22">
        <f>IF(H97="Attack", M97+IFERROR(LET(def_fac, XLOOKUP(J97,Register[Asset],Register[Faction]),def_attr, XLOOKUP(I97,Catalog[Name],Catalog[DefAttr]),SWITCH(def_attr,"Force",XLOOKUP(def_fac,FactionState[Faction],FactionState[Force]),"Cunning",XLOOKUP(def_fac,FactionState[Faction],FactionState[Cunning]),"Wealth",XLOOKUP(def_fac,FactionState[Faction],FactionState[Wealth]),"Magic",XLOOKUP(def_fac,FactionState[Faction],FactionState[Magic]),0)),0),"")</f>
        <v/>
      </c>
      <c r="O97" s="22">
        <f>IF(H97&lt;&gt;"Attack","",IF(AND(ISNUMBER(L97),ISNUMBER(N97)),IF(L97&gt;N97,"Attacker","Defender"),""))</f>
        <v/>
      </c>
      <c r="P97" s="22">
        <f>IF(O97="Attacker",IFERROR(LET(nn,XLOOKUP(I97,Catalog[Name],Catalog[DmgN]),dd,XLOOKUP(I97,Catalog[Name],Catalog[DmgDie]),IF(dd=0,0,RANDBETWEEN(1,dd)+IF(nn&gt;=2,RANDBETWEEN(1,dd),0))),0),"")</f>
        <v/>
      </c>
      <c r="Q97" s="22">
        <f>IF(O97="Defender",IFERROR(LET(nn,XLOOKUP(J97,Catalog[Name],Catalog[CtrN]),dd,XLOOKUP(J97,Catalog[Name],Catalog[CtrDie]),IF(dd=0,0,RANDBETWEEN(1,dd)+IF(nn&gt;=2,RANDBETWEEN(1,dd),0))),0),"")</f>
        <v/>
      </c>
    </row>
    <row r="98">
      <c r="A98" s="20" t="n">
        <v>11</v>
      </c>
      <c r="B98" s="21" t="inlineStr">
        <is>
          <t>The dErO</t>
        </is>
      </c>
      <c r="C98" s="22">
        <f>G89</f>
        <v/>
      </c>
      <c r="D98" s="22">
        <f>CEILING(XLOOKUP("The dErO",FactionState[Faction],FactionState[Wealth])/2+XLOOKUP("The dErO",FactionState[Faction],FactionState[Force])/4+XLOOKUP("The dErO",FactionState[Faction],FactionState[Cunning])/4, 1)</f>
        <v/>
      </c>
      <c r="E98" s="22">
        <f>MAX(0,COUNTIFS(Register[Faction],"The dErO",Register[Type],"Force")-XLOOKUP("The dErO",FactionState[Faction],FactionState[Force]))+MAX(0,COUNTIFS(Register[Faction],"The dErO",Register[Type],"Cunning")-XLOOKUP("The dErO",FactionState[Faction],FactionState[Cunning]))+MAX(0,COUNTIFS(Register[Faction],"The dErO",Register[Type],"Wealth")-XLOOKUP("The dErO",FactionState[Faction],FactionState[Wealth]))+MAX(0,COUNTIFS(Register[Faction],"The dErO",Register[Type],"Magic")-XLOOKUP("The dErO",FactionState[Faction],FactionState[Magic]))</f>
        <v/>
      </c>
      <c r="F98" s="22">
        <f>IFERROR(VALUE('Action Sheet'!I97),0)</f>
        <v/>
      </c>
      <c r="G98" s="22">
        <f>C98+D98-E98-F98</f>
        <v/>
      </c>
      <c r="H98" s="22">
        <f>'Action Sheet'!D97</f>
        <v/>
      </c>
      <c r="I98" s="22">
        <f>'Action Sheet'!E97</f>
        <v/>
      </c>
      <c r="J98" s="22">
        <f>'Action Sheet'!H97</f>
        <v/>
      </c>
      <c r="K98" s="22">
        <f>IF(H98="Attack",RANDBETWEEN(1,10),"")</f>
        <v/>
      </c>
      <c r="L98" s="22">
        <f>IF(H98="Attack", K98+IFERROR(SWITCH(XLOOKUP(I98,Catalog[Name],Catalog[AtkAttr]),"Force",XLOOKUP("The dErO",FactionState[Faction],FactionState[Force]),"Cunning",XLOOKUP("The dErO",FactionState[Faction],FactionState[Cunning]),"Wealth",XLOOKUP("The dErO",FactionState[Faction],FactionState[Wealth]),"Magic",XLOOKUP("The dErO",FactionState[Faction],FactionState[Magic]),0),0),"")</f>
        <v/>
      </c>
      <c r="M98" s="22">
        <f>IF(H98="Attack",RANDBETWEEN(1,10),"")</f>
        <v/>
      </c>
      <c r="N98" s="22">
        <f>IF(H98="Attack", M98+IFERROR(LET(def_fac, XLOOKUP(J98,Register[Asset],Register[Faction]),def_attr, XLOOKUP(I98,Catalog[Name],Catalog[DefAttr]),SWITCH(def_attr,"Force",XLOOKUP(def_fac,FactionState[Faction],FactionState[Force]),"Cunning",XLOOKUP(def_fac,FactionState[Faction],FactionState[Cunning]),"Wealth",XLOOKUP(def_fac,FactionState[Faction],FactionState[Wealth]),"Magic",XLOOKUP(def_fac,FactionState[Faction],FactionState[Magic]),0)),0),"")</f>
        <v/>
      </c>
      <c r="O98" s="22">
        <f>IF(H98&lt;&gt;"Attack","",IF(AND(ISNUMBER(L98),ISNUMBER(N98)),IF(L98&gt;N98,"Attacker","Defender"),""))</f>
        <v/>
      </c>
      <c r="P98" s="22">
        <f>IF(O98="Attacker",IFERROR(LET(nn,XLOOKUP(I98,Catalog[Name],Catalog[DmgN]),dd,XLOOKUP(I98,Catalog[Name],Catalog[DmgDie]),IF(dd=0,0,RANDBETWEEN(1,dd)+IF(nn&gt;=2,RANDBETWEEN(1,dd),0))),0),"")</f>
        <v/>
      </c>
      <c r="Q98" s="22">
        <f>IF(O98="Defender",IFERROR(LET(nn,XLOOKUP(J98,Catalog[Name],Catalog[CtrN]),dd,XLOOKUP(J98,Catalog[Name],Catalog[CtrDie]),IF(dd=0,0,RANDBETWEEN(1,dd)+IF(nn&gt;=2,RANDBETWEEN(1,dd),0))),0),"")</f>
        <v/>
      </c>
    </row>
    <row r="99">
      <c r="A99" s="20" t="n">
        <v>11</v>
      </c>
      <c r="B99" s="21" t="inlineStr">
        <is>
          <t>The Dvargir</t>
        </is>
      </c>
      <c r="C99" s="22">
        <f>G90</f>
        <v/>
      </c>
      <c r="D99" s="22">
        <f>CEILING(XLOOKUP("The Dvargir",FactionState[Faction],FactionState[Wealth])/2+XLOOKUP("The Dvargir",FactionState[Faction],FactionState[Force])/4+XLOOKUP("The Dvargir",FactionState[Faction],FactionState[Cunning])/4, 1)</f>
        <v/>
      </c>
      <c r="E99" s="22">
        <f>MAX(0,COUNTIFS(Register[Faction],"The Dvargir",Register[Type],"Force")-XLOOKUP("The Dvargir",FactionState[Faction],FactionState[Force]))+MAX(0,COUNTIFS(Register[Faction],"The Dvargir",Register[Type],"Cunning")-XLOOKUP("The Dvargir",FactionState[Faction],FactionState[Cunning]))+MAX(0,COUNTIFS(Register[Faction],"The Dvargir",Register[Type],"Wealth")-XLOOKUP("The Dvargir",FactionState[Faction],FactionState[Wealth]))+MAX(0,COUNTIFS(Register[Faction],"The Dvargir",Register[Type],"Magic")-XLOOKUP("The Dvargir",FactionState[Faction],FactionState[Magic]))</f>
        <v/>
      </c>
      <c r="F99" s="22">
        <f>IFERROR(VALUE('Action Sheet'!I98),0)</f>
        <v/>
      </c>
      <c r="G99" s="22">
        <f>C99+D99-E99-F99</f>
        <v/>
      </c>
      <c r="H99" s="22">
        <f>'Action Sheet'!D98</f>
        <v/>
      </c>
      <c r="I99" s="22">
        <f>'Action Sheet'!E98</f>
        <v/>
      </c>
      <c r="J99" s="22">
        <f>'Action Sheet'!H98</f>
        <v/>
      </c>
      <c r="K99" s="22">
        <f>IF(H99="Attack",RANDBETWEEN(1,10),"")</f>
        <v/>
      </c>
      <c r="L99" s="22">
        <f>IF(H99="Attack", K99+IFERROR(SWITCH(XLOOKUP(I99,Catalog[Name],Catalog[AtkAttr]),"Force",XLOOKUP("The Dvargir",FactionState[Faction],FactionState[Force]),"Cunning",XLOOKUP("The Dvargir",FactionState[Faction],FactionState[Cunning]),"Wealth",XLOOKUP("The Dvargir",FactionState[Faction],FactionState[Wealth]),"Magic",XLOOKUP("The Dvargir",FactionState[Faction],FactionState[Magic]),0),0),"")</f>
        <v/>
      </c>
      <c r="M99" s="22">
        <f>IF(H99="Attack",RANDBETWEEN(1,10),"")</f>
        <v/>
      </c>
      <c r="N99" s="22">
        <f>IF(H99="Attack", M99+IFERROR(LET(def_fac, XLOOKUP(J99,Register[Asset],Register[Faction]),def_attr, XLOOKUP(I99,Catalog[Name],Catalog[DefAttr]),SWITCH(def_attr,"Force",XLOOKUP(def_fac,FactionState[Faction],FactionState[Force]),"Cunning",XLOOKUP(def_fac,FactionState[Faction],FactionState[Cunning]),"Wealth",XLOOKUP(def_fac,FactionState[Faction],FactionState[Wealth]),"Magic",XLOOKUP(def_fac,FactionState[Faction],FactionState[Magic]),0)),0),"")</f>
        <v/>
      </c>
      <c r="O99" s="22">
        <f>IF(H99&lt;&gt;"Attack","",IF(AND(ISNUMBER(L99),ISNUMBER(N99)),IF(L99&gt;N99,"Attacker","Defender"),""))</f>
        <v/>
      </c>
      <c r="P99" s="22">
        <f>IF(O99="Attacker",IFERROR(LET(nn,XLOOKUP(I99,Catalog[Name],Catalog[DmgN]),dd,XLOOKUP(I99,Catalog[Name],Catalog[DmgDie]),IF(dd=0,0,RANDBETWEEN(1,dd)+IF(nn&gt;=2,RANDBETWEEN(1,dd),0))),0),"")</f>
        <v/>
      </c>
      <c r="Q99" s="22">
        <f>IF(O99="Defender",IFERROR(LET(nn,XLOOKUP(J99,Catalog[Name],Catalog[CtrN]),dd,XLOOKUP(J99,Catalog[Name],Catalog[CtrDie]),IF(dd=0,0,RANDBETWEEN(1,dd)+IF(nn&gt;=2,RANDBETWEEN(1,dd),0))),0),"")</f>
        <v/>
      </c>
    </row>
    <row r="100">
      <c r="A100" s="20" t="n">
        <v>11</v>
      </c>
      <c r="B100" s="21" t="inlineStr">
        <is>
          <t>The Gnonmen</t>
        </is>
      </c>
      <c r="C100" s="22">
        <f>G91</f>
        <v/>
      </c>
      <c r="D100" s="22">
        <f>CEILING(XLOOKUP("The Gnonmen",FactionState[Faction],FactionState[Wealth])/2+XLOOKUP("The Gnonmen",FactionState[Faction],FactionState[Force])/4+XLOOKUP("The Gnonmen",FactionState[Faction],FactionState[Cunning])/4, 1)</f>
        <v/>
      </c>
      <c r="E100" s="22">
        <f>MAX(0,COUNTIFS(Register[Faction],"The Gnonmen",Register[Type],"Force")-XLOOKUP("The Gnonmen",FactionState[Faction],FactionState[Force]))+MAX(0,COUNTIFS(Register[Faction],"The Gnonmen",Register[Type],"Cunning")-XLOOKUP("The Gnonmen",FactionState[Faction],FactionState[Cunning]))+MAX(0,COUNTIFS(Register[Faction],"The Gnonmen",Register[Type],"Wealth")-XLOOKUP("The Gnonmen",FactionState[Faction],FactionState[Wealth]))+MAX(0,COUNTIFS(Register[Faction],"The Gnonmen",Register[Type],"Magic")-XLOOKUP("The Gnonmen",FactionState[Faction],FactionState[Magic]))</f>
        <v/>
      </c>
      <c r="F100" s="22">
        <f>IFERROR(VALUE('Action Sheet'!I99),0)</f>
        <v/>
      </c>
      <c r="G100" s="22">
        <f>C100+D100-E100-F100</f>
        <v/>
      </c>
      <c r="H100" s="22">
        <f>'Action Sheet'!D99</f>
        <v/>
      </c>
      <c r="I100" s="22">
        <f>'Action Sheet'!E99</f>
        <v/>
      </c>
      <c r="J100" s="22">
        <f>'Action Sheet'!H99</f>
        <v/>
      </c>
      <c r="K100" s="22">
        <f>IF(H100="Attack",RANDBETWEEN(1,10),"")</f>
        <v/>
      </c>
      <c r="L100" s="22">
        <f>IF(H100="Attack", K100+IFERROR(SWITCH(XLOOKUP(I100,Catalog[Name],Catalog[AtkAttr]),"Force",XLOOKUP("The Gnonmen",FactionState[Faction],FactionState[Force]),"Cunning",XLOOKUP("The Gnonmen",FactionState[Faction],FactionState[Cunning]),"Wealth",XLOOKUP("The Gnonmen",FactionState[Faction],FactionState[Wealth]),"Magic",XLOOKUP("The Gnonmen",FactionState[Faction],FactionState[Magic]),0),0),"")</f>
        <v/>
      </c>
      <c r="M100" s="22">
        <f>IF(H100="Attack",RANDBETWEEN(1,10),"")</f>
        <v/>
      </c>
      <c r="N100" s="22">
        <f>IF(H100="Attack", M100+IFERROR(LET(def_fac, XLOOKUP(J100,Register[Asset],Register[Faction]),def_attr, XLOOKUP(I100,Catalog[Name],Catalog[DefAttr]),SWITCH(def_attr,"Force",XLOOKUP(def_fac,FactionState[Faction],FactionState[Force]),"Cunning",XLOOKUP(def_fac,FactionState[Faction],FactionState[Cunning]),"Wealth",XLOOKUP(def_fac,FactionState[Faction],FactionState[Wealth]),"Magic",XLOOKUP(def_fac,FactionState[Faction],FactionState[Magic]),0)),0),"")</f>
        <v/>
      </c>
      <c r="O100" s="22">
        <f>IF(H100&lt;&gt;"Attack","",IF(AND(ISNUMBER(L100),ISNUMBER(N100)),IF(L100&gt;N100,"Attacker","Defender"),""))</f>
        <v/>
      </c>
      <c r="P100" s="22">
        <f>IF(O100="Attacker",IFERROR(LET(nn,XLOOKUP(I100,Catalog[Name],Catalog[DmgN]),dd,XLOOKUP(I100,Catalog[Name],Catalog[DmgDie]),IF(dd=0,0,RANDBETWEEN(1,dd)+IF(nn&gt;=2,RANDBETWEEN(1,dd),0))),0),"")</f>
        <v/>
      </c>
      <c r="Q100" s="22">
        <f>IF(O100="Defender",IFERROR(LET(nn,XLOOKUP(J100,Catalog[Name],Catalog[CtrN]),dd,XLOOKUP(J100,Catalog[Name],Catalog[CtrDie]),IF(dd=0,0,RANDBETWEEN(1,dd)+IF(nn&gt;=2,RANDBETWEEN(1,dd),0))),0),"")</f>
        <v/>
      </c>
    </row>
    <row r="101">
      <c r="A101" s="20" t="n">
        <v>11</v>
      </c>
      <c r="B101" s="21" t="inlineStr">
        <is>
          <t>The Substratals</t>
        </is>
      </c>
      <c r="C101" s="22">
        <f>G92</f>
        <v/>
      </c>
      <c r="D101" s="22">
        <f>CEILING(XLOOKUP("The Substratals",FactionState[Faction],FactionState[Wealth])/2+XLOOKUP("The Substratals",FactionState[Faction],FactionState[Force])/4+XLOOKUP("The Substratals",FactionState[Faction],FactionState[Cunning])/4, 1)</f>
        <v/>
      </c>
      <c r="E101" s="22">
        <f>MAX(0,COUNTIFS(Register[Faction],"The Substratals",Register[Type],"Force")-XLOOKUP("The Substratals",FactionState[Faction],FactionState[Force]))+MAX(0,COUNTIFS(Register[Faction],"The Substratals",Register[Type],"Cunning")-XLOOKUP("The Substratals",FactionState[Faction],FactionState[Cunning]))+MAX(0,COUNTIFS(Register[Faction],"The Substratals",Register[Type],"Wealth")-XLOOKUP("The Substratals",FactionState[Faction],FactionState[Wealth]))+MAX(0,COUNTIFS(Register[Faction],"The Substratals",Register[Type],"Magic")-XLOOKUP("The Substratals",FactionState[Faction],FactionState[Magic]))</f>
        <v/>
      </c>
      <c r="F101" s="22">
        <f>IFERROR(VALUE('Action Sheet'!I100),0)</f>
        <v/>
      </c>
      <c r="G101" s="22">
        <f>C101+D101-E101-F101</f>
        <v/>
      </c>
      <c r="H101" s="22">
        <f>'Action Sheet'!D100</f>
        <v/>
      </c>
      <c r="I101" s="22">
        <f>'Action Sheet'!E100</f>
        <v/>
      </c>
      <c r="J101" s="22">
        <f>'Action Sheet'!H100</f>
        <v/>
      </c>
      <c r="K101" s="22">
        <f>IF(H101="Attack",RANDBETWEEN(1,10),"")</f>
        <v/>
      </c>
      <c r="L101" s="22">
        <f>IF(H101="Attack", K101+IFERROR(SWITCH(XLOOKUP(I101,Catalog[Name],Catalog[AtkAttr]),"Force",XLOOKUP("The Substratals",FactionState[Faction],FactionState[Force]),"Cunning",XLOOKUP("The Substratals",FactionState[Faction],FactionState[Cunning]),"Wealth",XLOOKUP("The Substratals",FactionState[Faction],FactionState[Wealth]),"Magic",XLOOKUP("The Substratals",FactionState[Faction],FactionState[Magic]),0),0),"")</f>
        <v/>
      </c>
      <c r="M101" s="22">
        <f>IF(H101="Attack",RANDBETWEEN(1,10),"")</f>
        <v/>
      </c>
      <c r="N101" s="22">
        <f>IF(H101="Attack", M101+IFERROR(LET(def_fac, XLOOKUP(J101,Register[Asset],Register[Faction]),def_attr, XLOOKUP(I101,Catalog[Name],Catalog[DefAttr]),SWITCH(def_attr,"Force",XLOOKUP(def_fac,FactionState[Faction],FactionState[Force]),"Cunning",XLOOKUP(def_fac,FactionState[Faction],FactionState[Cunning]),"Wealth",XLOOKUP(def_fac,FactionState[Faction],FactionState[Wealth]),"Magic",XLOOKUP(def_fac,FactionState[Faction],FactionState[Magic]),0)),0),"")</f>
        <v/>
      </c>
      <c r="O101" s="22">
        <f>IF(H101&lt;&gt;"Attack","",IF(AND(ISNUMBER(L101),ISNUMBER(N101)),IF(L101&gt;N101,"Attacker","Defender"),""))</f>
        <v/>
      </c>
      <c r="P101" s="22">
        <f>IF(O101="Attacker",IFERROR(LET(nn,XLOOKUP(I101,Catalog[Name],Catalog[DmgN]),dd,XLOOKUP(I101,Catalog[Name],Catalog[DmgDie]),IF(dd=0,0,RANDBETWEEN(1,dd)+IF(nn&gt;=2,RANDBETWEEN(1,dd),0))),0),"")</f>
        <v/>
      </c>
      <c r="Q101" s="22">
        <f>IF(O101="Defender",IFERROR(LET(nn,XLOOKUP(J101,Catalog[Name],Catalog[CtrN]),dd,XLOOKUP(J101,Catalog[Name],Catalog[CtrDie]),IF(dd=0,0,RANDBETWEEN(1,dd)+IF(nn&gt;=2,RANDBETWEEN(1,dd),0))),0),"")</f>
        <v/>
      </c>
    </row>
    <row r="102">
      <c r="A102" s="20" t="n">
        <v>11</v>
      </c>
      <c r="B102" s="21" t="inlineStr">
        <is>
          <t>The Deep Janeen</t>
        </is>
      </c>
      <c r="C102" s="22">
        <f>G93</f>
        <v/>
      </c>
      <c r="D102" s="22">
        <f>CEILING(XLOOKUP("The Deep Janeen",FactionState[Faction],FactionState[Wealth])/2+XLOOKUP("The Deep Janeen",FactionState[Faction],FactionState[Force])/4+XLOOKUP("The Deep Janeen",FactionState[Faction],FactionState[Cunning])/4, 1)</f>
        <v/>
      </c>
      <c r="E102" s="22">
        <f>MAX(0,COUNTIFS(Register[Faction],"The Deep Janeen",Register[Type],"Force")-XLOOKUP("The Deep Janeen",FactionState[Faction],FactionState[Force]))+MAX(0,COUNTIFS(Register[Faction],"The Deep Janeen",Register[Type],"Cunning")-XLOOKUP("The Deep Janeen",FactionState[Faction],FactionState[Cunning]))+MAX(0,COUNTIFS(Register[Faction],"The Deep Janeen",Register[Type],"Wealth")-XLOOKUP("The Deep Janeen",FactionState[Faction],FactionState[Wealth]))+MAX(0,COUNTIFS(Register[Faction],"The Deep Janeen",Register[Type],"Magic")-XLOOKUP("The Deep Janeen",FactionState[Faction],FactionState[Magic]))</f>
        <v/>
      </c>
      <c r="F102" s="22">
        <f>IFERROR(VALUE('Action Sheet'!I101),0)</f>
        <v/>
      </c>
      <c r="G102" s="22">
        <f>C102+D102-E102-F102</f>
        <v/>
      </c>
      <c r="H102" s="22">
        <f>'Action Sheet'!D101</f>
        <v/>
      </c>
      <c r="I102" s="22">
        <f>'Action Sheet'!E101</f>
        <v/>
      </c>
      <c r="J102" s="22">
        <f>'Action Sheet'!H101</f>
        <v/>
      </c>
      <c r="K102" s="22">
        <f>IF(H102="Attack",RANDBETWEEN(1,10),"")</f>
        <v/>
      </c>
      <c r="L102" s="22">
        <f>IF(H102="Attack", K102+IFERROR(SWITCH(XLOOKUP(I102,Catalog[Name],Catalog[AtkAttr]),"Force",XLOOKUP("The Deep Janeen",FactionState[Faction],FactionState[Force]),"Cunning",XLOOKUP("The Deep Janeen",FactionState[Faction],FactionState[Cunning]),"Wealth",XLOOKUP("The Deep Janeen",FactionState[Faction],FactionState[Wealth]),"Magic",XLOOKUP("The Deep Janeen",FactionState[Faction],FactionState[Magic]),0),0),"")</f>
        <v/>
      </c>
      <c r="M102" s="22">
        <f>IF(H102="Attack",RANDBETWEEN(1,10),"")</f>
        <v/>
      </c>
      <c r="N102" s="22">
        <f>IF(H102="Attack", M102+IFERROR(LET(def_fac, XLOOKUP(J102,Register[Asset],Register[Faction]),def_attr, XLOOKUP(I102,Catalog[Name],Catalog[DefAttr]),SWITCH(def_attr,"Force",XLOOKUP(def_fac,FactionState[Faction],FactionState[Force]),"Cunning",XLOOKUP(def_fac,FactionState[Faction],FactionState[Cunning]),"Wealth",XLOOKUP(def_fac,FactionState[Faction],FactionState[Wealth]),"Magic",XLOOKUP(def_fac,FactionState[Faction],FactionState[Magic]),0)),0),"")</f>
        <v/>
      </c>
      <c r="O102" s="22">
        <f>IF(H102&lt;&gt;"Attack","",IF(AND(ISNUMBER(L102),ISNUMBER(N102)),IF(L102&gt;N102,"Attacker","Defender"),""))</f>
        <v/>
      </c>
      <c r="P102" s="22">
        <f>IF(O102="Attacker",IFERROR(LET(nn,XLOOKUP(I102,Catalog[Name],Catalog[DmgN]),dd,XLOOKUP(I102,Catalog[Name],Catalog[DmgDie]),IF(dd=0,0,RANDBETWEEN(1,dd)+IF(nn&gt;=2,RANDBETWEEN(1,dd),0))),0),"")</f>
        <v/>
      </c>
      <c r="Q102" s="22">
        <f>IF(O102="Defender",IFERROR(LET(nn,XLOOKUP(J102,Catalog[Name],Catalog[CtrN]),dd,XLOOKUP(J102,Catalog[Name],Catalog[CtrDie]),IF(dd=0,0,RANDBETWEEN(1,dd)+IF(nn&gt;=2,RANDBETWEEN(1,dd),0))),0),"")</f>
        <v/>
      </c>
    </row>
    <row r="103">
      <c r="A103" s="20" t="n">
        <v>11</v>
      </c>
      <c r="B103" s="21" t="inlineStr">
        <is>
          <t>The Olm</t>
        </is>
      </c>
      <c r="C103" s="22">
        <f>G94</f>
        <v/>
      </c>
      <c r="D103" s="22">
        <f>CEILING(XLOOKUP("The Olm",FactionState[Faction],FactionState[Wealth])/2+XLOOKUP("The Olm",FactionState[Faction],FactionState[Force])/4+XLOOKUP("The Olm",FactionState[Faction],FactionState[Cunning])/4, 1)</f>
        <v/>
      </c>
      <c r="E103" s="22">
        <f>MAX(0,COUNTIFS(Register[Faction],"The Olm",Register[Type],"Force")-XLOOKUP("The Olm",FactionState[Faction],FactionState[Force]))+MAX(0,COUNTIFS(Register[Faction],"The Olm",Register[Type],"Cunning")-XLOOKUP("The Olm",FactionState[Faction],FactionState[Cunning]))+MAX(0,COUNTIFS(Register[Faction],"The Olm",Register[Type],"Wealth")-XLOOKUP("The Olm",FactionState[Faction],FactionState[Wealth]))+MAX(0,COUNTIFS(Register[Faction],"The Olm",Register[Type],"Magic")-XLOOKUP("The Olm",FactionState[Faction],FactionState[Magic]))</f>
        <v/>
      </c>
      <c r="F103" s="22">
        <f>IFERROR(VALUE('Action Sheet'!I102),0)</f>
        <v/>
      </c>
      <c r="G103" s="22">
        <f>C103+D103-E103-F103</f>
        <v/>
      </c>
      <c r="H103" s="22">
        <f>'Action Sheet'!D102</f>
        <v/>
      </c>
      <c r="I103" s="22">
        <f>'Action Sheet'!E102</f>
        <v/>
      </c>
      <c r="J103" s="22">
        <f>'Action Sheet'!H102</f>
        <v/>
      </c>
      <c r="K103" s="22">
        <f>IF(H103="Attack",RANDBETWEEN(1,10),"")</f>
        <v/>
      </c>
      <c r="L103" s="22">
        <f>IF(H103="Attack", K103+IFERROR(SWITCH(XLOOKUP(I103,Catalog[Name],Catalog[AtkAttr]),"Force",XLOOKUP("The Olm",FactionState[Faction],FactionState[Force]),"Cunning",XLOOKUP("The Olm",FactionState[Faction],FactionState[Cunning]),"Wealth",XLOOKUP("The Olm",FactionState[Faction],FactionState[Wealth]),"Magic",XLOOKUP("The Olm",FactionState[Faction],FactionState[Magic]),0),0),"")</f>
        <v/>
      </c>
      <c r="M103" s="22">
        <f>IF(H103="Attack",RANDBETWEEN(1,10),"")</f>
        <v/>
      </c>
      <c r="N103" s="22">
        <f>IF(H103="Attack", M103+IFERROR(LET(def_fac, XLOOKUP(J103,Register[Asset],Register[Faction]),def_attr, XLOOKUP(I103,Catalog[Name],Catalog[DefAttr]),SWITCH(def_attr,"Force",XLOOKUP(def_fac,FactionState[Faction],FactionState[Force]),"Cunning",XLOOKUP(def_fac,FactionState[Faction],FactionState[Cunning]),"Wealth",XLOOKUP(def_fac,FactionState[Faction],FactionState[Wealth]),"Magic",XLOOKUP(def_fac,FactionState[Faction],FactionState[Magic]),0)),0),"")</f>
        <v/>
      </c>
      <c r="O103" s="22">
        <f>IF(H103&lt;&gt;"Attack","",IF(AND(ISNUMBER(L103),ISNUMBER(N103)),IF(L103&gt;N103,"Attacker","Defender"),""))</f>
        <v/>
      </c>
      <c r="P103" s="22">
        <f>IF(O103="Attacker",IFERROR(LET(nn,XLOOKUP(I103,Catalog[Name],Catalog[DmgN]),dd,XLOOKUP(I103,Catalog[Name],Catalog[DmgDie]),IF(dd=0,0,RANDBETWEEN(1,dd)+IF(nn&gt;=2,RANDBETWEEN(1,dd),0))),0),"")</f>
        <v/>
      </c>
      <c r="Q103" s="22">
        <f>IF(O103="Defender",IFERROR(LET(nn,XLOOKUP(J103,Catalog[Name],Catalog[CtrN]),dd,XLOOKUP(J103,Catalog[Name],Catalog[CtrDie]),IF(dd=0,0,RANDBETWEEN(1,dd)+IF(nn&gt;=2,RANDBETWEEN(1,dd),0))),0),"")</f>
        <v/>
      </c>
    </row>
    <row r="104">
      <c r="A104" s="23" t="n">
        <v>12</v>
      </c>
      <c r="B104" s="24" t="inlineStr">
        <is>
          <t>The Knotsmen</t>
        </is>
      </c>
      <c r="C104" s="25">
        <f>G95</f>
        <v/>
      </c>
      <c r="D104" s="25">
        <f>CEILING(XLOOKUP("The Knotsmen",FactionState[Faction],FactionState[Wealth])/2+XLOOKUP("The Knotsmen",FactionState[Faction],FactionState[Force])/4+XLOOKUP("The Knotsmen",FactionState[Faction],FactionState[Cunning])/4, 1)</f>
        <v/>
      </c>
      <c r="E104" s="25">
        <f>MAX(0,COUNTIFS(Register[Faction],"The Knotsmen",Register[Type],"Force")-XLOOKUP("The Knotsmen",FactionState[Faction],FactionState[Force]))+MAX(0,COUNTIFS(Register[Faction],"The Knotsmen",Register[Type],"Cunning")-XLOOKUP("The Knotsmen",FactionState[Faction],FactionState[Cunning]))+MAX(0,COUNTIFS(Register[Faction],"The Knotsmen",Register[Type],"Wealth")-XLOOKUP("The Knotsmen",FactionState[Faction],FactionState[Wealth]))+MAX(0,COUNTIFS(Register[Faction],"The Knotsmen",Register[Type],"Magic")-XLOOKUP("The Knotsmen",FactionState[Faction],FactionState[Magic]))</f>
        <v/>
      </c>
      <c r="F104" s="25">
        <f>IFERROR(VALUE('Action Sheet'!I103),0)</f>
        <v/>
      </c>
      <c r="G104" s="25">
        <f>C104+D104-E104-F104</f>
        <v/>
      </c>
      <c r="H104" s="25">
        <f>'Action Sheet'!D103</f>
        <v/>
      </c>
      <c r="I104" s="25">
        <f>'Action Sheet'!E103</f>
        <v/>
      </c>
      <c r="J104" s="25">
        <f>'Action Sheet'!H103</f>
        <v/>
      </c>
      <c r="K104" s="25">
        <f>IF(H104="Attack",RANDBETWEEN(1,10),"")</f>
        <v/>
      </c>
      <c r="L104" s="25">
        <f>IF(H104="Attack", K104+IFERROR(SWITCH(XLOOKUP(I104,Catalog[Name],Catalog[AtkAttr]),"Force",XLOOKUP("The Knotsmen",FactionState[Faction],FactionState[Force]),"Cunning",XLOOKUP("The Knotsmen",FactionState[Faction],FactionState[Cunning]),"Wealth",XLOOKUP("The Knotsmen",FactionState[Faction],FactionState[Wealth]),"Magic",XLOOKUP("The Knotsmen",FactionState[Faction],FactionState[Magic]),0),0),"")</f>
        <v/>
      </c>
      <c r="M104" s="25">
        <f>IF(H104="Attack",RANDBETWEEN(1,10),"")</f>
        <v/>
      </c>
      <c r="N104" s="25">
        <f>IF(H104="Attack", M104+IFERROR(LET(def_fac, XLOOKUP(J104,Register[Asset],Register[Faction]),def_attr, XLOOKUP(I104,Catalog[Name],Catalog[DefAttr]),SWITCH(def_attr,"Force",XLOOKUP(def_fac,FactionState[Faction],FactionState[Force]),"Cunning",XLOOKUP(def_fac,FactionState[Faction],FactionState[Cunning]),"Wealth",XLOOKUP(def_fac,FactionState[Faction],FactionState[Wealth]),"Magic",XLOOKUP(def_fac,FactionState[Faction],FactionState[Magic]),0)),0),"")</f>
        <v/>
      </c>
      <c r="O104" s="25">
        <f>IF(H104&lt;&gt;"Attack","",IF(AND(ISNUMBER(L104),ISNUMBER(N104)),IF(L104&gt;N104,"Attacker","Defender"),""))</f>
        <v/>
      </c>
      <c r="P104" s="25">
        <f>IF(O104="Attacker",IFERROR(LET(nn,XLOOKUP(I104,Catalog[Name],Catalog[DmgN]),dd,XLOOKUP(I104,Catalog[Name],Catalog[DmgDie]),IF(dd=0,0,RANDBETWEEN(1,dd)+IF(nn&gt;=2,RANDBETWEEN(1,dd),0))),0),"")</f>
        <v/>
      </c>
      <c r="Q104" s="25">
        <f>IF(O104="Defender",IFERROR(LET(nn,XLOOKUP(J104,Catalog[Name],Catalog[CtrN]),dd,XLOOKUP(J104,Catalog[Name],Catalog[CtrDie]),IF(dd=0,0,RANDBETWEEN(1,dd)+IF(nn&gt;=2,RANDBETWEEN(1,dd),0))),0),"")</f>
        <v/>
      </c>
    </row>
    <row r="105">
      <c r="A105" s="23" t="n">
        <v>12</v>
      </c>
      <c r="B105" s="24" t="inlineStr">
        <is>
          <t>The Aelf-Adal</t>
        </is>
      </c>
      <c r="C105" s="25">
        <f>G96</f>
        <v/>
      </c>
      <c r="D105" s="25">
        <f>CEILING(XLOOKUP("The Aelf-Adal",FactionState[Faction],FactionState[Wealth])/2+XLOOKUP("The Aelf-Adal",FactionState[Faction],FactionState[Force])/4+XLOOKUP("The Aelf-Adal",FactionState[Faction],FactionState[Cunning])/4, 1)</f>
        <v/>
      </c>
      <c r="E105" s="25">
        <f>MAX(0,COUNTIFS(Register[Faction],"The Aelf-Adal",Register[Type],"Force")-XLOOKUP("The Aelf-Adal",FactionState[Faction],FactionState[Force]))+MAX(0,COUNTIFS(Register[Faction],"The Aelf-Adal",Register[Type],"Cunning")-XLOOKUP("The Aelf-Adal",FactionState[Faction],FactionState[Cunning]))+MAX(0,COUNTIFS(Register[Faction],"The Aelf-Adal",Register[Type],"Wealth")-XLOOKUP("The Aelf-Adal",FactionState[Faction],FactionState[Wealth]))+MAX(0,COUNTIFS(Register[Faction],"The Aelf-Adal",Register[Type],"Magic")-XLOOKUP("The Aelf-Adal",FactionState[Faction],FactionState[Magic]))</f>
        <v/>
      </c>
      <c r="F105" s="25">
        <f>IFERROR(VALUE('Action Sheet'!I104),0)</f>
        <v/>
      </c>
      <c r="G105" s="25">
        <f>C105+D105-E105-F105</f>
        <v/>
      </c>
      <c r="H105" s="25">
        <f>'Action Sheet'!D104</f>
        <v/>
      </c>
      <c r="I105" s="25">
        <f>'Action Sheet'!E104</f>
        <v/>
      </c>
      <c r="J105" s="25">
        <f>'Action Sheet'!H104</f>
        <v/>
      </c>
      <c r="K105" s="25">
        <f>IF(H105="Attack",RANDBETWEEN(1,10),"")</f>
        <v/>
      </c>
      <c r="L105" s="25">
        <f>IF(H105="Attack", K105+IFERROR(SWITCH(XLOOKUP(I105,Catalog[Name],Catalog[AtkAttr]),"Force",XLOOKUP("The Aelf-Adal",FactionState[Faction],FactionState[Force]),"Cunning",XLOOKUP("The Aelf-Adal",FactionState[Faction],FactionState[Cunning]),"Wealth",XLOOKUP("The Aelf-Adal",FactionState[Faction],FactionState[Wealth]),"Magic",XLOOKUP("The Aelf-Adal",FactionState[Faction],FactionState[Magic]),0),0),"")</f>
        <v/>
      </c>
      <c r="M105" s="25">
        <f>IF(H105="Attack",RANDBETWEEN(1,10),"")</f>
        <v/>
      </c>
      <c r="N105" s="25">
        <f>IF(H105="Attack", M105+IFERROR(LET(def_fac, XLOOKUP(J105,Register[Asset],Register[Faction]),def_attr, XLOOKUP(I105,Catalog[Name],Catalog[DefAttr]),SWITCH(def_attr,"Force",XLOOKUP(def_fac,FactionState[Faction],FactionState[Force]),"Cunning",XLOOKUP(def_fac,FactionState[Faction],FactionState[Cunning]),"Wealth",XLOOKUP(def_fac,FactionState[Faction],FactionState[Wealth]),"Magic",XLOOKUP(def_fac,FactionState[Faction],FactionState[Magic]),0)),0),"")</f>
        <v/>
      </c>
      <c r="O105" s="25">
        <f>IF(H105&lt;&gt;"Attack","",IF(AND(ISNUMBER(L105),ISNUMBER(N105)),IF(L105&gt;N105,"Attacker","Defender"),""))</f>
        <v/>
      </c>
      <c r="P105" s="25">
        <f>IF(O105="Attacker",IFERROR(LET(nn,XLOOKUP(I105,Catalog[Name],Catalog[DmgN]),dd,XLOOKUP(I105,Catalog[Name],Catalog[DmgDie]),IF(dd=0,0,RANDBETWEEN(1,dd)+IF(nn&gt;=2,RANDBETWEEN(1,dd),0))),0),"")</f>
        <v/>
      </c>
      <c r="Q105" s="25">
        <f>IF(O105="Defender",IFERROR(LET(nn,XLOOKUP(J105,Catalog[Name],Catalog[CtrN]),dd,XLOOKUP(J105,Catalog[Name],Catalog[CtrDie]),IF(dd=0,0,RANDBETWEEN(1,dd)+IF(nn&gt;=2,RANDBETWEEN(1,dd),0))),0),"")</f>
        <v/>
      </c>
    </row>
    <row r="106">
      <c r="A106" s="23" t="n">
        <v>12</v>
      </c>
      <c r="B106" s="24" t="inlineStr">
        <is>
          <t>The Funginids</t>
        </is>
      </c>
      <c r="C106" s="25">
        <f>G97</f>
        <v/>
      </c>
      <c r="D106" s="25">
        <f>CEILING(XLOOKUP("The Funginids",FactionState[Faction],FactionState[Wealth])/2+XLOOKUP("The Funginids",FactionState[Faction],FactionState[Force])/4+XLOOKUP("The Funginids",FactionState[Faction],FactionState[Cunning])/4, 1)</f>
        <v/>
      </c>
      <c r="E106" s="25">
        <f>MAX(0,COUNTIFS(Register[Faction],"The Funginids",Register[Type],"Force")-XLOOKUP("The Funginids",FactionState[Faction],FactionState[Force]))+MAX(0,COUNTIFS(Register[Faction],"The Funginids",Register[Type],"Cunning")-XLOOKUP("The Funginids",FactionState[Faction],FactionState[Cunning]))+MAX(0,COUNTIFS(Register[Faction],"The Funginids",Register[Type],"Wealth")-XLOOKUP("The Funginids",FactionState[Faction],FactionState[Wealth]))+MAX(0,COUNTIFS(Register[Faction],"The Funginids",Register[Type],"Magic")-XLOOKUP("The Funginids",FactionState[Faction],FactionState[Magic]))</f>
        <v/>
      </c>
      <c r="F106" s="25">
        <f>IFERROR(VALUE('Action Sheet'!I105),0)</f>
        <v/>
      </c>
      <c r="G106" s="25">
        <f>C106+D106-E106-F106</f>
        <v/>
      </c>
      <c r="H106" s="25">
        <f>'Action Sheet'!D105</f>
        <v/>
      </c>
      <c r="I106" s="25">
        <f>'Action Sheet'!E105</f>
        <v/>
      </c>
      <c r="J106" s="25">
        <f>'Action Sheet'!H105</f>
        <v/>
      </c>
      <c r="K106" s="25">
        <f>IF(H106="Attack",RANDBETWEEN(1,10),"")</f>
        <v/>
      </c>
      <c r="L106" s="25">
        <f>IF(H106="Attack", K106+IFERROR(SWITCH(XLOOKUP(I106,Catalog[Name],Catalog[AtkAttr]),"Force",XLOOKUP("The Funginids",FactionState[Faction],FactionState[Force]),"Cunning",XLOOKUP("The Funginids",FactionState[Faction],FactionState[Cunning]),"Wealth",XLOOKUP("The Funginids",FactionState[Faction],FactionState[Wealth]),"Magic",XLOOKUP("The Funginids",FactionState[Faction],FactionState[Magic]),0),0),"")</f>
        <v/>
      </c>
      <c r="M106" s="25">
        <f>IF(H106="Attack",RANDBETWEEN(1,10),"")</f>
        <v/>
      </c>
      <c r="N106" s="25">
        <f>IF(H106="Attack", M106+IFERROR(LET(def_fac, XLOOKUP(J106,Register[Asset],Register[Faction]),def_attr, XLOOKUP(I106,Catalog[Name],Catalog[DefAttr]),SWITCH(def_attr,"Force",XLOOKUP(def_fac,FactionState[Faction],FactionState[Force]),"Cunning",XLOOKUP(def_fac,FactionState[Faction],FactionState[Cunning]),"Wealth",XLOOKUP(def_fac,FactionState[Faction],FactionState[Wealth]),"Magic",XLOOKUP(def_fac,FactionState[Faction],FactionState[Magic]),0)),0),"")</f>
        <v/>
      </c>
      <c r="O106" s="25">
        <f>IF(H106&lt;&gt;"Attack","",IF(AND(ISNUMBER(L106),ISNUMBER(N106)),IF(L106&gt;N106,"Attacker","Defender"),""))</f>
        <v/>
      </c>
      <c r="P106" s="25">
        <f>IF(O106="Attacker",IFERROR(LET(nn,XLOOKUP(I106,Catalog[Name],Catalog[DmgN]),dd,XLOOKUP(I106,Catalog[Name],Catalog[DmgDie]),IF(dd=0,0,RANDBETWEEN(1,dd)+IF(nn&gt;=2,RANDBETWEEN(1,dd),0))),0),"")</f>
        <v/>
      </c>
      <c r="Q106" s="25">
        <f>IF(O106="Defender",IFERROR(LET(nn,XLOOKUP(J106,Catalog[Name],Catalog[CtrN]),dd,XLOOKUP(J106,Catalog[Name],Catalog[CtrDie]),IF(dd=0,0,RANDBETWEEN(1,dd)+IF(nn&gt;=2,RANDBETWEEN(1,dd),0))),0),"")</f>
        <v/>
      </c>
    </row>
    <row r="107">
      <c r="A107" s="23" t="n">
        <v>12</v>
      </c>
      <c r="B107" s="24" t="inlineStr">
        <is>
          <t>The dErO</t>
        </is>
      </c>
      <c r="C107" s="25">
        <f>G98</f>
        <v/>
      </c>
      <c r="D107" s="25">
        <f>CEILING(XLOOKUP("The dErO",FactionState[Faction],FactionState[Wealth])/2+XLOOKUP("The dErO",FactionState[Faction],FactionState[Force])/4+XLOOKUP("The dErO",FactionState[Faction],FactionState[Cunning])/4, 1)</f>
        <v/>
      </c>
      <c r="E107" s="25">
        <f>MAX(0,COUNTIFS(Register[Faction],"The dErO",Register[Type],"Force")-XLOOKUP("The dErO",FactionState[Faction],FactionState[Force]))+MAX(0,COUNTIFS(Register[Faction],"The dErO",Register[Type],"Cunning")-XLOOKUP("The dErO",FactionState[Faction],FactionState[Cunning]))+MAX(0,COUNTIFS(Register[Faction],"The dErO",Register[Type],"Wealth")-XLOOKUP("The dErO",FactionState[Faction],FactionState[Wealth]))+MAX(0,COUNTIFS(Register[Faction],"The dErO",Register[Type],"Magic")-XLOOKUP("The dErO",FactionState[Faction],FactionState[Magic]))</f>
        <v/>
      </c>
      <c r="F107" s="25">
        <f>IFERROR(VALUE('Action Sheet'!I106),0)</f>
        <v/>
      </c>
      <c r="G107" s="25">
        <f>C107+D107-E107-F107</f>
        <v/>
      </c>
      <c r="H107" s="25">
        <f>'Action Sheet'!D106</f>
        <v/>
      </c>
      <c r="I107" s="25">
        <f>'Action Sheet'!E106</f>
        <v/>
      </c>
      <c r="J107" s="25">
        <f>'Action Sheet'!H106</f>
        <v/>
      </c>
      <c r="K107" s="25">
        <f>IF(H107="Attack",RANDBETWEEN(1,10),"")</f>
        <v/>
      </c>
      <c r="L107" s="25">
        <f>IF(H107="Attack", K107+IFERROR(SWITCH(XLOOKUP(I107,Catalog[Name],Catalog[AtkAttr]),"Force",XLOOKUP("The dErO",FactionState[Faction],FactionState[Force]),"Cunning",XLOOKUP("The dErO",FactionState[Faction],FactionState[Cunning]),"Wealth",XLOOKUP("The dErO",FactionState[Faction],FactionState[Wealth]),"Magic",XLOOKUP("The dErO",FactionState[Faction],FactionState[Magic]),0),0),"")</f>
        <v/>
      </c>
      <c r="M107" s="25">
        <f>IF(H107="Attack",RANDBETWEEN(1,10),"")</f>
        <v/>
      </c>
      <c r="N107" s="25">
        <f>IF(H107="Attack", M107+IFERROR(LET(def_fac, XLOOKUP(J107,Register[Asset],Register[Faction]),def_attr, XLOOKUP(I107,Catalog[Name],Catalog[DefAttr]),SWITCH(def_attr,"Force",XLOOKUP(def_fac,FactionState[Faction],FactionState[Force]),"Cunning",XLOOKUP(def_fac,FactionState[Faction],FactionState[Cunning]),"Wealth",XLOOKUP(def_fac,FactionState[Faction],FactionState[Wealth]),"Magic",XLOOKUP(def_fac,FactionState[Faction],FactionState[Magic]),0)),0),"")</f>
        <v/>
      </c>
      <c r="O107" s="25">
        <f>IF(H107&lt;&gt;"Attack","",IF(AND(ISNUMBER(L107),ISNUMBER(N107)),IF(L107&gt;N107,"Attacker","Defender"),""))</f>
        <v/>
      </c>
      <c r="P107" s="25">
        <f>IF(O107="Attacker",IFERROR(LET(nn,XLOOKUP(I107,Catalog[Name],Catalog[DmgN]),dd,XLOOKUP(I107,Catalog[Name],Catalog[DmgDie]),IF(dd=0,0,RANDBETWEEN(1,dd)+IF(nn&gt;=2,RANDBETWEEN(1,dd),0))),0),"")</f>
        <v/>
      </c>
      <c r="Q107" s="25">
        <f>IF(O107="Defender",IFERROR(LET(nn,XLOOKUP(J107,Catalog[Name],Catalog[CtrN]),dd,XLOOKUP(J107,Catalog[Name],Catalog[CtrDie]),IF(dd=0,0,RANDBETWEEN(1,dd)+IF(nn&gt;=2,RANDBETWEEN(1,dd),0))),0),"")</f>
        <v/>
      </c>
    </row>
    <row r="108">
      <c r="A108" s="23" t="n">
        <v>12</v>
      </c>
      <c r="B108" s="24" t="inlineStr">
        <is>
          <t>The Dvargir</t>
        </is>
      </c>
      <c r="C108" s="25">
        <f>G99</f>
        <v/>
      </c>
      <c r="D108" s="25">
        <f>CEILING(XLOOKUP("The Dvargir",FactionState[Faction],FactionState[Wealth])/2+XLOOKUP("The Dvargir",FactionState[Faction],FactionState[Force])/4+XLOOKUP("The Dvargir",FactionState[Faction],FactionState[Cunning])/4, 1)</f>
        <v/>
      </c>
      <c r="E108" s="25">
        <f>MAX(0,COUNTIFS(Register[Faction],"The Dvargir",Register[Type],"Force")-XLOOKUP("The Dvargir",FactionState[Faction],FactionState[Force]))+MAX(0,COUNTIFS(Register[Faction],"The Dvargir",Register[Type],"Cunning")-XLOOKUP("The Dvargir",FactionState[Faction],FactionState[Cunning]))+MAX(0,COUNTIFS(Register[Faction],"The Dvargir",Register[Type],"Wealth")-XLOOKUP("The Dvargir",FactionState[Faction],FactionState[Wealth]))+MAX(0,COUNTIFS(Register[Faction],"The Dvargir",Register[Type],"Magic")-XLOOKUP("The Dvargir",FactionState[Faction],FactionState[Magic]))</f>
        <v/>
      </c>
      <c r="F108" s="25">
        <f>IFERROR(VALUE('Action Sheet'!I107),0)</f>
        <v/>
      </c>
      <c r="G108" s="25">
        <f>C108+D108-E108-F108</f>
        <v/>
      </c>
      <c r="H108" s="25">
        <f>'Action Sheet'!D107</f>
        <v/>
      </c>
      <c r="I108" s="25">
        <f>'Action Sheet'!E107</f>
        <v/>
      </c>
      <c r="J108" s="25">
        <f>'Action Sheet'!H107</f>
        <v/>
      </c>
      <c r="K108" s="25">
        <f>IF(H108="Attack",RANDBETWEEN(1,10),"")</f>
        <v/>
      </c>
      <c r="L108" s="25">
        <f>IF(H108="Attack", K108+IFERROR(SWITCH(XLOOKUP(I108,Catalog[Name],Catalog[AtkAttr]),"Force",XLOOKUP("The Dvargir",FactionState[Faction],FactionState[Force]),"Cunning",XLOOKUP("The Dvargir",FactionState[Faction],FactionState[Cunning]),"Wealth",XLOOKUP("The Dvargir",FactionState[Faction],FactionState[Wealth]),"Magic",XLOOKUP("The Dvargir",FactionState[Faction],FactionState[Magic]),0),0),"")</f>
        <v/>
      </c>
      <c r="M108" s="25">
        <f>IF(H108="Attack",RANDBETWEEN(1,10),"")</f>
        <v/>
      </c>
      <c r="N108" s="25">
        <f>IF(H108="Attack", M108+IFERROR(LET(def_fac, XLOOKUP(J108,Register[Asset],Register[Faction]),def_attr, XLOOKUP(I108,Catalog[Name],Catalog[DefAttr]),SWITCH(def_attr,"Force",XLOOKUP(def_fac,FactionState[Faction],FactionState[Force]),"Cunning",XLOOKUP(def_fac,FactionState[Faction],FactionState[Cunning]),"Wealth",XLOOKUP(def_fac,FactionState[Faction],FactionState[Wealth]),"Magic",XLOOKUP(def_fac,FactionState[Faction],FactionState[Magic]),0)),0),"")</f>
        <v/>
      </c>
      <c r="O108" s="25">
        <f>IF(H108&lt;&gt;"Attack","",IF(AND(ISNUMBER(L108),ISNUMBER(N108)),IF(L108&gt;N108,"Attacker","Defender"),""))</f>
        <v/>
      </c>
      <c r="P108" s="25">
        <f>IF(O108="Attacker",IFERROR(LET(nn,XLOOKUP(I108,Catalog[Name],Catalog[DmgN]),dd,XLOOKUP(I108,Catalog[Name],Catalog[DmgDie]),IF(dd=0,0,RANDBETWEEN(1,dd)+IF(nn&gt;=2,RANDBETWEEN(1,dd),0))),0),"")</f>
        <v/>
      </c>
      <c r="Q108" s="25">
        <f>IF(O108="Defender",IFERROR(LET(nn,XLOOKUP(J108,Catalog[Name],Catalog[CtrN]),dd,XLOOKUP(J108,Catalog[Name],Catalog[CtrDie]),IF(dd=0,0,RANDBETWEEN(1,dd)+IF(nn&gt;=2,RANDBETWEEN(1,dd),0))),0),"")</f>
        <v/>
      </c>
    </row>
    <row r="109">
      <c r="A109" s="23" t="n">
        <v>12</v>
      </c>
      <c r="B109" s="24" t="inlineStr">
        <is>
          <t>The Gnonmen</t>
        </is>
      </c>
      <c r="C109" s="25">
        <f>G100</f>
        <v/>
      </c>
      <c r="D109" s="25">
        <f>CEILING(XLOOKUP("The Gnonmen",FactionState[Faction],FactionState[Wealth])/2+XLOOKUP("The Gnonmen",FactionState[Faction],FactionState[Force])/4+XLOOKUP("The Gnonmen",FactionState[Faction],FactionState[Cunning])/4, 1)</f>
        <v/>
      </c>
      <c r="E109" s="25">
        <f>MAX(0,COUNTIFS(Register[Faction],"The Gnonmen",Register[Type],"Force")-XLOOKUP("The Gnonmen",FactionState[Faction],FactionState[Force]))+MAX(0,COUNTIFS(Register[Faction],"The Gnonmen",Register[Type],"Cunning")-XLOOKUP("The Gnonmen",FactionState[Faction],FactionState[Cunning]))+MAX(0,COUNTIFS(Register[Faction],"The Gnonmen",Register[Type],"Wealth")-XLOOKUP("The Gnonmen",FactionState[Faction],FactionState[Wealth]))+MAX(0,COUNTIFS(Register[Faction],"The Gnonmen",Register[Type],"Magic")-XLOOKUP("The Gnonmen",FactionState[Faction],FactionState[Magic]))</f>
        <v/>
      </c>
      <c r="F109" s="25">
        <f>IFERROR(VALUE('Action Sheet'!I108),0)</f>
        <v/>
      </c>
      <c r="G109" s="25">
        <f>C109+D109-E109-F109</f>
        <v/>
      </c>
      <c r="H109" s="25">
        <f>'Action Sheet'!D108</f>
        <v/>
      </c>
      <c r="I109" s="25">
        <f>'Action Sheet'!E108</f>
        <v/>
      </c>
      <c r="J109" s="25">
        <f>'Action Sheet'!H108</f>
        <v/>
      </c>
      <c r="K109" s="25">
        <f>IF(H109="Attack",RANDBETWEEN(1,10),"")</f>
        <v/>
      </c>
      <c r="L109" s="25">
        <f>IF(H109="Attack", K109+IFERROR(SWITCH(XLOOKUP(I109,Catalog[Name],Catalog[AtkAttr]),"Force",XLOOKUP("The Gnonmen",FactionState[Faction],FactionState[Force]),"Cunning",XLOOKUP("The Gnonmen",FactionState[Faction],FactionState[Cunning]),"Wealth",XLOOKUP("The Gnonmen",FactionState[Faction],FactionState[Wealth]),"Magic",XLOOKUP("The Gnonmen",FactionState[Faction],FactionState[Magic]),0),0),"")</f>
        <v/>
      </c>
      <c r="M109" s="25">
        <f>IF(H109="Attack",RANDBETWEEN(1,10),"")</f>
        <v/>
      </c>
      <c r="N109" s="25">
        <f>IF(H109="Attack", M109+IFERROR(LET(def_fac, XLOOKUP(J109,Register[Asset],Register[Faction]),def_attr, XLOOKUP(I109,Catalog[Name],Catalog[DefAttr]),SWITCH(def_attr,"Force",XLOOKUP(def_fac,FactionState[Faction],FactionState[Force]),"Cunning",XLOOKUP(def_fac,FactionState[Faction],FactionState[Cunning]),"Wealth",XLOOKUP(def_fac,FactionState[Faction],FactionState[Wealth]),"Magic",XLOOKUP(def_fac,FactionState[Faction],FactionState[Magic]),0)),0),"")</f>
        <v/>
      </c>
      <c r="O109" s="25">
        <f>IF(H109&lt;&gt;"Attack","",IF(AND(ISNUMBER(L109),ISNUMBER(N109)),IF(L109&gt;N109,"Attacker","Defender"),""))</f>
        <v/>
      </c>
      <c r="P109" s="25">
        <f>IF(O109="Attacker",IFERROR(LET(nn,XLOOKUP(I109,Catalog[Name],Catalog[DmgN]),dd,XLOOKUP(I109,Catalog[Name],Catalog[DmgDie]),IF(dd=0,0,RANDBETWEEN(1,dd)+IF(nn&gt;=2,RANDBETWEEN(1,dd),0))),0),"")</f>
        <v/>
      </c>
      <c r="Q109" s="25">
        <f>IF(O109="Defender",IFERROR(LET(nn,XLOOKUP(J109,Catalog[Name],Catalog[CtrN]),dd,XLOOKUP(J109,Catalog[Name],Catalog[CtrDie]),IF(dd=0,0,RANDBETWEEN(1,dd)+IF(nn&gt;=2,RANDBETWEEN(1,dd),0))),0),"")</f>
        <v/>
      </c>
    </row>
    <row r="110">
      <c r="A110" s="23" t="n">
        <v>12</v>
      </c>
      <c r="B110" s="24" t="inlineStr">
        <is>
          <t>The Substratals</t>
        </is>
      </c>
      <c r="C110" s="25">
        <f>G101</f>
        <v/>
      </c>
      <c r="D110" s="25">
        <f>CEILING(XLOOKUP("The Substratals",FactionState[Faction],FactionState[Wealth])/2+XLOOKUP("The Substratals",FactionState[Faction],FactionState[Force])/4+XLOOKUP("The Substratals",FactionState[Faction],FactionState[Cunning])/4, 1)</f>
        <v/>
      </c>
      <c r="E110" s="25">
        <f>MAX(0,COUNTIFS(Register[Faction],"The Substratals",Register[Type],"Force")-XLOOKUP("The Substratals",FactionState[Faction],FactionState[Force]))+MAX(0,COUNTIFS(Register[Faction],"The Substratals",Register[Type],"Cunning")-XLOOKUP("The Substratals",FactionState[Faction],FactionState[Cunning]))+MAX(0,COUNTIFS(Register[Faction],"The Substratals",Register[Type],"Wealth")-XLOOKUP("The Substratals",FactionState[Faction],FactionState[Wealth]))+MAX(0,COUNTIFS(Register[Faction],"The Substratals",Register[Type],"Magic")-XLOOKUP("The Substratals",FactionState[Faction],FactionState[Magic]))</f>
        <v/>
      </c>
      <c r="F110" s="25">
        <f>IFERROR(VALUE('Action Sheet'!I109),0)</f>
        <v/>
      </c>
      <c r="G110" s="25">
        <f>C110+D110-E110-F110</f>
        <v/>
      </c>
      <c r="H110" s="25">
        <f>'Action Sheet'!D109</f>
        <v/>
      </c>
      <c r="I110" s="25">
        <f>'Action Sheet'!E109</f>
        <v/>
      </c>
      <c r="J110" s="25">
        <f>'Action Sheet'!H109</f>
        <v/>
      </c>
      <c r="K110" s="25">
        <f>IF(H110="Attack",RANDBETWEEN(1,10),"")</f>
        <v/>
      </c>
      <c r="L110" s="25">
        <f>IF(H110="Attack", K110+IFERROR(SWITCH(XLOOKUP(I110,Catalog[Name],Catalog[AtkAttr]),"Force",XLOOKUP("The Substratals",FactionState[Faction],FactionState[Force]),"Cunning",XLOOKUP("The Substratals",FactionState[Faction],FactionState[Cunning]),"Wealth",XLOOKUP("The Substratals",FactionState[Faction],FactionState[Wealth]),"Magic",XLOOKUP("The Substratals",FactionState[Faction],FactionState[Magic]),0),0),"")</f>
        <v/>
      </c>
      <c r="M110" s="25">
        <f>IF(H110="Attack",RANDBETWEEN(1,10),"")</f>
        <v/>
      </c>
      <c r="N110" s="25">
        <f>IF(H110="Attack", M110+IFERROR(LET(def_fac, XLOOKUP(J110,Register[Asset],Register[Faction]),def_attr, XLOOKUP(I110,Catalog[Name],Catalog[DefAttr]),SWITCH(def_attr,"Force",XLOOKUP(def_fac,FactionState[Faction],FactionState[Force]),"Cunning",XLOOKUP(def_fac,FactionState[Faction],FactionState[Cunning]),"Wealth",XLOOKUP(def_fac,FactionState[Faction],FactionState[Wealth]),"Magic",XLOOKUP(def_fac,FactionState[Faction],FactionState[Magic]),0)),0),"")</f>
        <v/>
      </c>
      <c r="O110" s="25">
        <f>IF(H110&lt;&gt;"Attack","",IF(AND(ISNUMBER(L110),ISNUMBER(N110)),IF(L110&gt;N110,"Attacker","Defender"),""))</f>
        <v/>
      </c>
      <c r="P110" s="25">
        <f>IF(O110="Attacker",IFERROR(LET(nn,XLOOKUP(I110,Catalog[Name],Catalog[DmgN]),dd,XLOOKUP(I110,Catalog[Name],Catalog[DmgDie]),IF(dd=0,0,RANDBETWEEN(1,dd)+IF(nn&gt;=2,RANDBETWEEN(1,dd),0))),0),"")</f>
        <v/>
      </c>
      <c r="Q110" s="25">
        <f>IF(O110="Defender",IFERROR(LET(nn,XLOOKUP(J110,Catalog[Name],Catalog[CtrN]),dd,XLOOKUP(J110,Catalog[Name],Catalog[CtrDie]),IF(dd=0,0,RANDBETWEEN(1,dd)+IF(nn&gt;=2,RANDBETWEEN(1,dd),0))),0),"")</f>
        <v/>
      </c>
    </row>
    <row r="111">
      <c r="A111" s="23" t="n">
        <v>12</v>
      </c>
      <c r="B111" s="24" t="inlineStr">
        <is>
          <t>The Deep Janeen</t>
        </is>
      </c>
      <c r="C111" s="25">
        <f>G102</f>
        <v/>
      </c>
      <c r="D111" s="25">
        <f>CEILING(XLOOKUP("The Deep Janeen",FactionState[Faction],FactionState[Wealth])/2+XLOOKUP("The Deep Janeen",FactionState[Faction],FactionState[Force])/4+XLOOKUP("The Deep Janeen",FactionState[Faction],FactionState[Cunning])/4, 1)</f>
        <v/>
      </c>
      <c r="E111" s="25">
        <f>MAX(0,COUNTIFS(Register[Faction],"The Deep Janeen",Register[Type],"Force")-XLOOKUP("The Deep Janeen",FactionState[Faction],FactionState[Force]))+MAX(0,COUNTIFS(Register[Faction],"The Deep Janeen",Register[Type],"Cunning")-XLOOKUP("The Deep Janeen",FactionState[Faction],FactionState[Cunning]))+MAX(0,COUNTIFS(Register[Faction],"The Deep Janeen",Register[Type],"Wealth")-XLOOKUP("The Deep Janeen",FactionState[Faction],FactionState[Wealth]))+MAX(0,COUNTIFS(Register[Faction],"The Deep Janeen",Register[Type],"Magic")-XLOOKUP("The Deep Janeen",FactionState[Faction],FactionState[Magic]))</f>
        <v/>
      </c>
      <c r="F111" s="25">
        <f>IFERROR(VALUE('Action Sheet'!I110),0)</f>
        <v/>
      </c>
      <c r="G111" s="25">
        <f>C111+D111-E111-F111</f>
        <v/>
      </c>
      <c r="H111" s="25">
        <f>'Action Sheet'!D110</f>
        <v/>
      </c>
      <c r="I111" s="25">
        <f>'Action Sheet'!E110</f>
        <v/>
      </c>
      <c r="J111" s="25">
        <f>'Action Sheet'!H110</f>
        <v/>
      </c>
      <c r="K111" s="25">
        <f>IF(H111="Attack",RANDBETWEEN(1,10),"")</f>
        <v/>
      </c>
      <c r="L111" s="25">
        <f>IF(H111="Attack", K111+IFERROR(SWITCH(XLOOKUP(I111,Catalog[Name],Catalog[AtkAttr]),"Force",XLOOKUP("The Deep Janeen",FactionState[Faction],FactionState[Force]),"Cunning",XLOOKUP("The Deep Janeen",FactionState[Faction],FactionState[Cunning]),"Wealth",XLOOKUP("The Deep Janeen",FactionState[Faction],FactionState[Wealth]),"Magic",XLOOKUP("The Deep Janeen",FactionState[Faction],FactionState[Magic]),0),0),"")</f>
        <v/>
      </c>
      <c r="M111" s="25">
        <f>IF(H111="Attack",RANDBETWEEN(1,10),"")</f>
        <v/>
      </c>
      <c r="N111" s="25">
        <f>IF(H111="Attack", M111+IFERROR(LET(def_fac, XLOOKUP(J111,Register[Asset],Register[Faction]),def_attr, XLOOKUP(I111,Catalog[Name],Catalog[DefAttr]),SWITCH(def_attr,"Force",XLOOKUP(def_fac,FactionState[Faction],FactionState[Force]),"Cunning",XLOOKUP(def_fac,FactionState[Faction],FactionState[Cunning]),"Wealth",XLOOKUP(def_fac,FactionState[Faction],FactionState[Wealth]),"Magic",XLOOKUP(def_fac,FactionState[Faction],FactionState[Magic]),0)),0),"")</f>
        <v/>
      </c>
      <c r="O111" s="25">
        <f>IF(H111&lt;&gt;"Attack","",IF(AND(ISNUMBER(L111),ISNUMBER(N111)),IF(L111&gt;N111,"Attacker","Defender"),""))</f>
        <v/>
      </c>
      <c r="P111" s="25">
        <f>IF(O111="Attacker",IFERROR(LET(nn,XLOOKUP(I111,Catalog[Name],Catalog[DmgN]),dd,XLOOKUP(I111,Catalog[Name],Catalog[DmgDie]),IF(dd=0,0,RANDBETWEEN(1,dd)+IF(nn&gt;=2,RANDBETWEEN(1,dd),0))),0),"")</f>
        <v/>
      </c>
      <c r="Q111" s="25">
        <f>IF(O111="Defender",IFERROR(LET(nn,XLOOKUP(J111,Catalog[Name],Catalog[CtrN]),dd,XLOOKUP(J111,Catalog[Name],Catalog[CtrDie]),IF(dd=0,0,RANDBETWEEN(1,dd)+IF(nn&gt;=2,RANDBETWEEN(1,dd),0))),0),"")</f>
        <v/>
      </c>
    </row>
    <row r="112">
      <c r="A112" s="23" t="n">
        <v>12</v>
      </c>
      <c r="B112" s="24" t="inlineStr">
        <is>
          <t>The Olm</t>
        </is>
      </c>
      <c r="C112" s="25">
        <f>G103</f>
        <v/>
      </c>
      <c r="D112" s="25">
        <f>CEILING(XLOOKUP("The Olm",FactionState[Faction],FactionState[Wealth])/2+XLOOKUP("The Olm",FactionState[Faction],FactionState[Force])/4+XLOOKUP("The Olm",FactionState[Faction],FactionState[Cunning])/4, 1)</f>
        <v/>
      </c>
      <c r="E112" s="25">
        <f>MAX(0,COUNTIFS(Register[Faction],"The Olm",Register[Type],"Force")-XLOOKUP("The Olm",FactionState[Faction],FactionState[Force]))+MAX(0,COUNTIFS(Register[Faction],"The Olm",Register[Type],"Cunning")-XLOOKUP("The Olm",FactionState[Faction],FactionState[Cunning]))+MAX(0,COUNTIFS(Register[Faction],"The Olm",Register[Type],"Wealth")-XLOOKUP("The Olm",FactionState[Faction],FactionState[Wealth]))+MAX(0,COUNTIFS(Register[Faction],"The Olm",Register[Type],"Magic")-XLOOKUP("The Olm",FactionState[Faction],FactionState[Magic]))</f>
        <v/>
      </c>
      <c r="F112" s="25">
        <f>IFERROR(VALUE('Action Sheet'!I111),0)</f>
        <v/>
      </c>
      <c r="G112" s="25">
        <f>C112+D112-E112-F112</f>
        <v/>
      </c>
      <c r="H112" s="25">
        <f>'Action Sheet'!D111</f>
        <v/>
      </c>
      <c r="I112" s="25">
        <f>'Action Sheet'!E111</f>
        <v/>
      </c>
      <c r="J112" s="25">
        <f>'Action Sheet'!H111</f>
        <v/>
      </c>
      <c r="K112" s="25">
        <f>IF(H112="Attack",RANDBETWEEN(1,10),"")</f>
        <v/>
      </c>
      <c r="L112" s="25">
        <f>IF(H112="Attack", K112+IFERROR(SWITCH(XLOOKUP(I112,Catalog[Name],Catalog[AtkAttr]),"Force",XLOOKUP("The Olm",FactionState[Faction],FactionState[Force]),"Cunning",XLOOKUP("The Olm",FactionState[Faction],FactionState[Cunning]),"Wealth",XLOOKUP("The Olm",FactionState[Faction],FactionState[Wealth]),"Magic",XLOOKUP("The Olm",FactionState[Faction],FactionState[Magic]),0),0),"")</f>
        <v/>
      </c>
      <c r="M112" s="25">
        <f>IF(H112="Attack",RANDBETWEEN(1,10),"")</f>
        <v/>
      </c>
      <c r="N112" s="25">
        <f>IF(H112="Attack", M112+IFERROR(LET(def_fac, XLOOKUP(J112,Register[Asset],Register[Faction]),def_attr, XLOOKUP(I112,Catalog[Name],Catalog[DefAttr]),SWITCH(def_attr,"Force",XLOOKUP(def_fac,FactionState[Faction],FactionState[Force]),"Cunning",XLOOKUP(def_fac,FactionState[Faction],FactionState[Cunning]),"Wealth",XLOOKUP(def_fac,FactionState[Faction],FactionState[Wealth]),"Magic",XLOOKUP(def_fac,FactionState[Faction],FactionState[Magic]),0)),0),"")</f>
        <v/>
      </c>
      <c r="O112" s="25">
        <f>IF(H112&lt;&gt;"Attack","",IF(AND(ISNUMBER(L112),ISNUMBER(N112)),IF(L112&gt;N112,"Attacker","Defender"),""))</f>
        <v/>
      </c>
      <c r="P112" s="25">
        <f>IF(O112="Attacker",IFERROR(LET(nn,XLOOKUP(I112,Catalog[Name],Catalog[DmgN]),dd,XLOOKUP(I112,Catalog[Name],Catalog[DmgDie]),IF(dd=0,0,RANDBETWEEN(1,dd)+IF(nn&gt;=2,RANDBETWEEN(1,dd),0))),0),"")</f>
        <v/>
      </c>
      <c r="Q112" s="25">
        <f>IF(O112="Defender",IFERROR(LET(nn,XLOOKUP(J112,Catalog[Name],Catalog[CtrN]),dd,XLOOKUP(J112,Catalog[Name],Catalog[CtrDie]),IF(dd=0,0,RANDBETWEEN(1,dd)+IF(nn&gt;=2,RANDBETWEEN(1,dd),0))),0),"")</f>
        <v/>
      </c>
    </row>
    <row r="113">
      <c r="A113" s="20" t="n">
        <v>13</v>
      </c>
      <c r="B113" s="21" t="inlineStr">
        <is>
          <t>The Knotsmen</t>
        </is>
      </c>
      <c r="C113" s="22">
        <f>G104</f>
        <v/>
      </c>
      <c r="D113" s="22">
        <f>CEILING(XLOOKUP("The Knotsmen",FactionState[Faction],FactionState[Wealth])/2+XLOOKUP("The Knotsmen",FactionState[Faction],FactionState[Force])/4+XLOOKUP("The Knotsmen",FactionState[Faction],FactionState[Cunning])/4, 1)</f>
        <v/>
      </c>
      <c r="E113" s="22">
        <f>MAX(0,COUNTIFS(Register[Faction],"The Knotsmen",Register[Type],"Force")-XLOOKUP("The Knotsmen",FactionState[Faction],FactionState[Force]))+MAX(0,COUNTIFS(Register[Faction],"The Knotsmen",Register[Type],"Cunning")-XLOOKUP("The Knotsmen",FactionState[Faction],FactionState[Cunning]))+MAX(0,COUNTIFS(Register[Faction],"The Knotsmen",Register[Type],"Wealth")-XLOOKUP("The Knotsmen",FactionState[Faction],FactionState[Wealth]))+MAX(0,COUNTIFS(Register[Faction],"The Knotsmen",Register[Type],"Magic")-XLOOKUP("The Knotsmen",FactionState[Faction],FactionState[Magic]))</f>
        <v/>
      </c>
      <c r="F113" s="22">
        <f>IFERROR(VALUE('Action Sheet'!I112),0)</f>
        <v/>
      </c>
      <c r="G113" s="22">
        <f>C113+D113-E113-F113</f>
        <v/>
      </c>
      <c r="H113" s="22">
        <f>'Action Sheet'!D112</f>
        <v/>
      </c>
      <c r="I113" s="22">
        <f>'Action Sheet'!E112</f>
        <v/>
      </c>
      <c r="J113" s="22">
        <f>'Action Sheet'!H112</f>
        <v/>
      </c>
      <c r="K113" s="22">
        <f>IF(H113="Attack",RANDBETWEEN(1,10),"")</f>
        <v/>
      </c>
      <c r="L113" s="22">
        <f>IF(H113="Attack", K113+IFERROR(SWITCH(XLOOKUP(I113,Catalog[Name],Catalog[AtkAttr]),"Force",XLOOKUP("The Knotsmen",FactionState[Faction],FactionState[Force]),"Cunning",XLOOKUP("The Knotsmen",FactionState[Faction],FactionState[Cunning]),"Wealth",XLOOKUP("The Knotsmen",FactionState[Faction],FactionState[Wealth]),"Magic",XLOOKUP("The Knotsmen",FactionState[Faction],FactionState[Magic]),0),0),"")</f>
        <v/>
      </c>
      <c r="M113" s="22">
        <f>IF(H113="Attack",RANDBETWEEN(1,10),"")</f>
        <v/>
      </c>
      <c r="N113" s="22">
        <f>IF(H113="Attack", M113+IFERROR(LET(def_fac, XLOOKUP(J113,Register[Asset],Register[Faction]),def_attr, XLOOKUP(I113,Catalog[Name],Catalog[DefAttr]),SWITCH(def_attr,"Force",XLOOKUP(def_fac,FactionState[Faction],FactionState[Force]),"Cunning",XLOOKUP(def_fac,FactionState[Faction],FactionState[Cunning]),"Wealth",XLOOKUP(def_fac,FactionState[Faction],FactionState[Wealth]),"Magic",XLOOKUP(def_fac,FactionState[Faction],FactionState[Magic]),0)),0),"")</f>
        <v/>
      </c>
      <c r="O113" s="22">
        <f>IF(H113&lt;&gt;"Attack","",IF(AND(ISNUMBER(L113),ISNUMBER(N113)),IF(L113&gt;N113,"Attacker","Defender"),""))</f>
        <v/>
      </c>
      <c r="P113" s="22">
        <f>IF(O113="Attacker",IFERROR(LET(nn,XLOOKUP(I113,Catalog[Name],Catalog[DmgN]),dd,XLOOKUP(I113,Catalog[Name],Catalog[DmgDie]),IF(dd=0,0,RANDBETWEEN(1,dd)+IF(nn&gt;=2,RANDBETWEEN(1,dd),0))),0),"")</f>
        <v/>
      </c>
      <c r="Q113" s="22">
        <f>IF(O113="Defender",IFERROR(LET(nn,XLOOKUP(J113,Catalog[Name],Catalog[CtrN]),dd,XLOOKUP(J113,Catalog[Name],Catalog[CtrDie]),IF(dd=0,0,RANDBETWEEN(1,dd)+IF(nn&gt;=2,RANDBETWEEN(1,dd),0))),0),"")</f>
        <v/>
      </c>
    </row>
    <row r="114">
      <c r="A114" s="20" t="n">
        <v>13</v>
      </c>
      <c r="B114" s="21" t="inlineStr">
        <is>
          <t>The Aelf-Adal</t>
        </is>
      </c>
      <c r="C114" s="22">
        <f>G105</f>
        <v/>
      </c>
      <c r="D114" s="22">
        <f>CEILING(XLOOKUP("The Aelf-Adal",FactionState[Faction],FactionState[Wealth])/2+XLOOKUP("The Aelf-Adal",FactionState[Faction],FactionState[Force])/4+XLOOKUP("The Aelf-Adal",FactionState[Faction],FactionState[Cunning])/4, 1)</f>
        <v/>
      </c>
      <c r="E114" s="22">
        <f>MAX(0,COUNTIFS(Register[Faction],"The Aelf-Adal",Register[Type],"Force")-XLOOKUP("The Aelf-Adal",FactionState[Faction],FactionState[Force]))+MAX(0,COUNTIFS(Register[Faction],"The Aelf-Adal",Register[Type],"Cunning")-XLOOKUP("The Aelf-Adal",FactionState[Faction],FactionState[Cunning]))+MAX(0,COUNTIFS(Register[Faction],"The Aelf-Adal",Register[Type],"Wealth")-XLOOKUP("The Aelf-Adal",FactionState[Faction],FactionState[Wealth]))+MAX(0,COUNTIFS(Register[Faction],"The Aelf-Adal",Register[Type],"Magic")-XLOOKUP("The Aelf-Adal",FactionState[Faction],FactionState[Magic]))</f>
        <v/>
      </c>
      <c r="F114" s="22">
        <f>IFERROR(VALUE('Action Sheet'!I113),0)</f>
        <v/>
      </c>
      <c r="G114" s="22">
        <f>C114+D114-E114-F114</f>
        <v/>
      </c>
      <c r="H114" s="22">
        <f>'Action Sheet'!D113</f>
        <v/>
      </c>
      <c r="I114" s="22">
        <f>'Action Sheet'!E113</f>
        <v/>
      </c>
      <c r="J114" s="22">
        <f>'Action Sheet'!H113</f>
        <v/>
      </c>
      <c r="K114" s="22">
        <f>IF(H114="Attack",RANDBETWEEN(1,10),"")</f>
        <v/>
      </c>
      <c r="L114" s="22">
        <f>IF(H114="Attack", K114+IFERROR(SWITCH(XLOOKUP(I114,Catalog[Name],Catalog[AtkAttr]),"Force",XLOOKUP("The Aelf-Adal",FactionState[Faction],FactionState[Force]),"Cunning",XLOOKUP("The Aelf-Adal",FactionState[Faction],FactionState[Cunning]),"Wealth",XLOOKUP("The Aelf-Adal",FactionState[Faction],FactionState[Wealth]),"Magic",XLOOKUP("The Aelf-Adal",FactionState[Faction],FactionState[Magic]),0),0),"")</f>
        <v/>
      </c>
      <c r="M114" s="22">
        <f>IF(H114="Attack",RANDBETWEEN(1,10),"")</f>
        <v/>
      </c>
      <c r="N114" s="22">
        <f>IF(H114="Attack", M114+IFERROR(LET(def_fac, XLOOKUP(J114,Register[Asset],Register[Faction]),def_attr, XLOOKUP(I114,Catalog[Name],Catalog[DefAttr]),SWITCH(def_attr,"Force",XLOOKUP(def_fac,FactionState[Faction],FactionState[Force]),"Cunning",XLOOKUP(def_fac,FactionState[Faction],FactionState[Cunning]),"Wealth",XLOOKUP(def_fac,FactionState[Faction],FactionState[Wealth]),"Magic",XLOOKUP(def_fac,FactionState[Faction],FactionState[Magic]),0)),0),"")</f>
        <v/>
      </c>
      <c r="O114" s="22">
        <f>IF(H114&lt;&gt;"Attack","",IF(AND(ISNUMBER(L114),ISNUMBER(N114)),IF(L114&gt;N114,"Attacker","Defender"),""))</f>
        <v/>
      </c>
      <c r="P114" s="22">
        <f>IF(O114="Attacker",IFERROR(LET(nn,XLOOKUP(I114,Catalog[Name],Catalog[DmgN]),dd,XLOOKUP(I114,Catalog[Name],Catalog[DmgDie]),IF(dd=0,0,RANDBETWEEN(1,dd)+IF(nn&gt;=2,RANDBETWEEN(1,dd),0))),0),"")</f>
        <v/>
      </c>
      <c r="Q114" s="22">
        <f>IF(O114="Defender",IFERROR(LET(nn,XLOOKUP(J114,Catalog[Name],Catalog[CtrN]),dd,XLOOKUP(J114,Catalog[Name],Catalog[CtrDie]),IF(dd=0,0,RANDBETWEEN(1,dd)+IF(nn&gt;=2,RANDBETWEEN(1,dd),0))),0),"")</f>
        <v/>
      </c>
    </row>
    <row r="115">
      <c r="A115" s="20" t="n">
        <v>13</v>
      </c>
      <c r="B115" s="21" t="inlineStr">
        <is>
          <t>The Funginids</t>
        </is>
      </c>
      <c r="C115" s="22">
        <f>G106</f>
        <v/>
      </c>
      <c r="D115" s="22">
        <f>CEILING(XLOOKUP("The Funginids",FactionState[Faction],FactionState[Wealth])/2+XLOOKUP("The Funginids",FactionState[Faction],FactionState[Force])/4+XLOOKUP("The Funginids",FactionState[Faction],FactionState[Cunning])/4, 1)</f>
        <v/>
      </c>
      <c r="E115" s="22">
        <f>MAX(0,COUNTIFS(Register[Faction],"The Funginids",Register[Type],"Force")-XLOOKUP("The Funginids",FactionState[Faction],FactionState[Force]))+MAX(0,COUNTIFS(Register[Faction],"The Funginids",Register[Type],"Cunning")-XLOOKUP("The Funginids",FactionState[Faction],FactionState[Cunning]))+MAX(0,COUNTIFS(Register[Faction],"The Funginids",Register[Type],"Wealth")-XLOOKUP("The Funginids",FactionState[Faction],FactionState[Wealth]))+MAX(0,COUNTIFS(Register[Faction],"The Funginids",Register[Type],"Magic")-XLOOKUP("The Funginids",FactionState[Faction],FactionState[Magic]))</f>
        <v/>
      </c>
      <c r="F115" s="22">
        <f>IFERROR(VALUE('Action Sheet'!I114),0)</f>
        <v/>
      </c>
      <c r="G115" s="22">
        <f>C115+D115-E115-F115</f>
        <v/>
      </c>
      <c r="H115" s="22">
        <f>'Action Sheet'!D114</f>
        <v/>
      </c>
      <c r="I115" s="22">
        <f>'Action Sheet'!E114</f>
        <v/>
      </c>
      <c r="J115" s="22">
        <f>'Action Sheet'!H114</f>
        <v/>
      </c>
      <c r="K115" s="22">
        <f>IF(H115="Attack",RANDBETWEEN(1,10),"")</f>
        <v/>
      </c>
      <c r="L115" s="22">
        <f>IF(H115="Attack", K115+IFERROR(SWITCH(XLOOKUP(I115,Catalog[Name],Catalog[AtkAttr]),"Force",XLOOKUP("The Funginids",FactionState[Faction],FactionState[Force]),"Cunning",XLOOKUP("The Funginids",FactionState[Faction],FactionState[Cunning]),"Wealth",XLOOKUP("The Funginids",FactionState[Faction],FactionState[Wealth]),"Magic",XLOOKUP("The Funginids",FactionState[Faction],FactionState[Magic]),0),0),"")</f>
        <v/>
      </c>
      <c r="M115" s="22">
        <f>IF(H115="Attack",RANDBETWEEN(1,10),"")</f>
        <v/>
      </c>
      <c r="N115" s="22">
        <f>IF(H115="Attack", M115+IFERROR(LET(def_fac, XLOOKUP(J115,Register[Asset],Register[Faction]),def_attr, XLOOKUP(I115,Catalog[Name],Catalog[DefAttr]),SWITCH(def_attr,"Force",XLOOKUP(def_fac,FactionState[Faction],FactionState[Force]),"Cunning",XLOOKUP(def_fac,FactionState[Faction],FactionState[Cunning]),"Wealth",XLOOKUP(def_fac,FactionState[Faction],FactionState[Wealth]),"Magic",XLOOKUP(def_fac,FactionState[Faction],FactionState[Magic]),0)),0),"")</f>
        <v/>
      </c>
      <c r="O115" s="22">
        <f>IF(H115&lt;&gt;"Attack","",IF(AND(ISNUMBER(L115),ISNUMBER(N115)),IF(L115&gt;N115,"Attacker","Defender"),""))</f>
        <v/>
      </c>
      <c r="P115" s="22">
        <f>IF(O115="Attacker",IFERROR(LET(nn,XLOOKUP(I115,Catalog[Name],Catalog[DmgN]),dd,XLOOKUP(I115,Catalog[Name],Catalog[DmgDie]),IF(dd=0,0,RANDBETWEEN(1,dd)+IF(nn&gt;=2,RANDBETWEEN(1,dd),0))),0),"")</f>
        <v/>
      </c>
      <c r="Q115" s="22">
        <f>IF(O115="Defender",IFERROR(LET(nn,XLOOKUP(J115,Catalog[Name],Catalog[CtrN]),dd,XLOOKUP(J115,Catalog[Name],Catalog[CtrDie]),IF(dd=0,0,RANDBETWEEN(1,dd)+IF(nn&gt;=2,RANDBETWEEN(1,dd),0))),0),"")</f>
        <v/>
      </c>
    </row>
    <row r="116">
      <c r="A116" s="20" t="n">
        <v>13</v>
      </c>
      <c r="B116" s="21" t="inlineStr">
        <is>
          <t>The dErO</t>
        </is>
      </c>
      <c r="C116" s="22">
        <f>G107</f>
        <v/>
      </c>
      <c r="D116" s="22">
        <f>CEILING(XLOOKUP("The dErO",FactionState[Faction],FactionState[Wealth])/2+XLOOKUP("The dErO",FactionState[Faction],FactionState[Force])/4+XLOOKUP("The dErO",FactionState[Faction],FactionState[Cunning])/4, 1)</f>
        <v/>
      </c>
      <c r="E116" s="22">
        <f>MAX(0,COUNTIFS(Register[Faction],"The dErO",Register[Type],"Force")-XLOOKUP("The dErO",FactionState[Faction],FactionState[Force]))+MAX(0,COUNTIFS(Register[Faction],"The dErO",Register[Type],"Cunning")-XLOOKUP("The dErO",FactionState[Faction],FactionState[Cunning]))+MAX(0,COUNTIFS(Register[Faction],"The dErO",Register[Type],"Wealth")-XLOOKUP("The dErO",FactionState[Faction],FactionState[Wealth]))+MAX(0,COUNTIFS(Register[Faction],"The dErO",Register[Type],"Magic")-XLOOKUP("The dErO",FactionState[Faction],FactionState[Magic]))</f>
        <v/>
      </c>
      <c r="F116" s="22">
        <f>IFERROR(VALUE('Action Sheet'!I115),0)</f>
        <v/>
      </c>
      <c r="G116" s="22">
        <f>C116+D116-E116-F116</f>
        <v/>
      </c>
      <c r="H116" s="22">
        <f>'Action Sheet'!D115</f>
        <v/>
      </c>
      <c r="I116" s="22">
        <f>'Action Sheet'!E115</f>
        <v/>
      </c>
      <c r="J116" s="22">
        <f>'Action Sheet'!H115</f>
        <v/>
      </c>
      <c r="K116" s="22">
        <f>IF(H116="Attack",RANDBETWEEN(1,10),"")</f>
        <v/>
      </c>
      <c r="L116" s="22">
        <f>IF(H116="Attack", K116+IFERROR(SWITCH(XLOOKUP(I116,Catalog[Name],Catalog[AtkAttr]),"Force",XLOOKUP("The dErO",FactionState[Faction],FactionState[Force]),"Cunning",XLOOKUP("The dErO",FactionState[Faction],FactionState[Cunning]),"Wealth",XLOOKUP("The dErO",FactionState[Faction],FactionState[Wealth]),"Magic",XLOOKUP("The dErO",FactionState[Faction],FactionState[Magic]),0),0),"")</f>
        <v/>
      </c>
      <c r="M116" s="22">
        <f>IF(H116="Attack",RANDBETWEEN(1,10),"")</f>
        <v/>
      </c>
      <c r="N116" s="22">
        <f>IF(H116="Attack", M116+IFERROR(LET(def_fac, XLOOKUP(J116,Register[Asset],Register[Faction]),def_attr, XLOOKUP(I116,Catalog[Name],Catalog[DefAttr]),SWITCH(def_attr,"Force",XLOOKUP(def_fac,FactionState[Faction],FactionState[Force]),"Cunning",XLOOKUP(def_fac,FactionState[Faction],FactionState[Cunning]),"Wealth",XLOOKUP(def_fac,FactionState[Faction],FactionState[Wealth]),"Magic",XLOOKUP(def_fac,FactionState[Faction],FactionState[Magic]),0)),0),"")</f>
        <v/>
      </c>
      <c r="O116" s="22">
        <f>IF(H116&lt;&gt;"Attack","",IF(AND(ISNUMBER(L116),ISNUMBER(N116)),IF(L116&gt;N116,"Attacker","Defender"),""))</f>
        <v/>
      </c>
      <c r="P116" s="22">
        <f>IF(O116="Attacker",IFERROR(LET(nn,XLOOKUP(I116,Catalog[Name],Catalog[DmgN]),dd,XLOOKUP(I116,Catalog[Name],Catalog[DmgDie]),IF(dd=0,0,RANDBETWEEN(1,dd)+IF(nn&gt;=2,RANDBETWEEN(1,dd),0))),0),"")</f>
        <v/>
      </c>
      <c r="Q116" s="22">
        <f>IF(O116="Defender",IFERROR(LET(nn,XLOOKUP(J116,Catalog[Name],Catalog[CtrN]),dd,XLOOKUP(J116,Catalog[Name],Catalog[CtrDie]),IF(dd=0,0,RANDBETWEEN(1,dd)+IF(nn&gt;=2,RANDBETWEEN(1,dd),0))),0),"")</f>
        <v/>
      </c>
    </row>
    <row r="117">
      <c r="A117" s="20" t="n">
        <v>13</v>
      </c>
      <c r="B117" s="21" t="inlineStr">
        <is>
          <t>The Dvargir</t>
        </is>
      </c>
      <c r="C117" s="22">
        <f>G108</f>
        <v/>
      </c>
      <c r="D117" s="22">
        <f>CEILING(XLOOKUP("The Dvargir",FactionState[Faction],FactionState[Wealth])/2+XLOOKUP("The Dvargir",FactionState[Faction],FactionState[Force])/4+XLOOKUP("The Dvargir",FactionState[Faction],FactionState[Cunning])/4, 1)</f>
        <v/>
      </c>
      <c r="E117" s="22">
        <f>MAX(0,COUNTIFS(Register[Faction],"The Dvargir",Register[Type],"Force")-XLOOKUP("The Dvargir",FactionState[Faction],FactionState[Force]))+MAX(0,COUNTIFS(Register[Faction],"The Dvargir",Register[Type],"Cunning")-XLOOKUP("The Dvargir",FactionState[Faction],FactionState[Cunning]))+MAX(0,COUNTIFS(Register[Faction],"The Dvargir",Register[Type],"Wealth")-XLOOKUP("The Dvargir",FactionState[Faction],FactionState[Wealth]))+MAX(0,COUNTIFS(Register[Faction],"The Dvargir",Register[Type],"Magic")-XLOOKUP("The Dvargir",FactionState[Faction],FactionState[Magic]))</f>
        <v/>
      </c>
      <c r="F117" s="22">
        <f>IFERROR(VALUE('Action Sheet'!I116),0)</f>
        <v/>
      </c>
      <c r="G117" s="22">
        <f>C117+D117-E117-F117</f>
        <v/>
      </c>
      <c r="H117" s="22">
        <f>'Action Sheet'!D116</f>
        <v/>
      </c>
      <c r="I117" s="22">
        <f>'Action Sheet'!E116</f>
        <v/>
      </c>
      <c r="J117" s="22">
        <f>'Action Sheet'!H116</f>
        <v/>
      </c>
      <c r="K117" s="22">
        <f>IF(H117="Attack",RANDBETWEEN(1,10),"")</f>
        <v/>
      </c>
      <c r="L117" s="22">
        <f>IF(H117="Attack", K117+IFERROR(SWITCH(XLOOKUP(I117,Catalog[Name],Catalog[AtkAttr]),"Force",XLOOKUP("The Dvargir",FactionState[Faction],FactionState[Force]),"Cunning",XLOOKUP("The Dvargir",FactionState[Faction],FactionState[Cunning]),"Wealth",XLOOKUP("The Dvargir",FactionState[Faction],FactionState[Wealth]),"Magic",XLOOKUP("The Dvargir",FactionState[Faction],FactionState[Magic]),0),0),"")</f>
        <v/>
      </c>
      <c r="M117" s="22">
        <f>IF(H117="Attack",RANDBETWEEN(1,10),"")</f>
        <v/>
      </c>
      <c r="N117" s="22">
        <f>IF(H117="Attack", M117+IFERROR(LET(def_fac, XLOOKUP(J117,Register[Asset],Register[Faction]),def_attr, XLOOKUP(I117,Catalog[Name],Catalog[DefAttr]),SWITCH(def_attr,"Force",XLOOKUP(def_fac,FactionState[Faction],FactionState[Force]),"Cunning",XLOOKUP(def_fac,FactionState[Faction],FactionState[Cunning]),"Wealth",XLOOKUP(def_fac,FactionState[Faction],FactionState[Wealth]),"Magic",XLOOKUP(def_fac,FactionState[Faction],FactionState[Magic]),0)),0),"")</f>
        <v/>
      </c>
      <c r="O117" s="22">
        <f>IF(H117&lt;&gt;"Attack","",IF(AND(ISNUMBER(L117),ISNUMBER(N117)),IF(L117&gt;N117,"Attacker","Defender"),""))</f>
        <v/>
      </c>
      <c r="P117" s="22">
        <f>IF(O117="Attacker",IFERROR(LET(nn,XLOOKUP(I117,Catalog[Name],Catalog[DmgN]),dd,XLOOKUP(I117,Catalog[Name],Catalog[DmgDie]),IF(dd=0,0,RANDBETWEEN(1,dd)+IF(nn&gt;=2,RANDBETWEEN(1,dd),0))),0),"")</f>
        <v/>
      </c>
      <c r="Q117" s="22">
        <f>IF(O117="Defender",IFERROR(LET(nn,XLOOKUP(J117,Catalog[Name],Catalog[CtrN]),dd,XLOOKUP(J117,Catalog[Name],Catalog[CtrDie]),IF(dd=0,0,RANDBETWEEN(1,dd)+IF(nn&gt;=2,RANDBETWEEN(1,dd),0))),0),"")</f>
        <v/>
      </c>
    </row>
    <row r="118">
      <c r="A118" s="20" t="n">
        <v>13</v>
      </c>
      <c r="B118" s="21" t="inlineStr">
        <is>
          <t>The Gnonmen</t>
        </is>
      </c>
      <c r="C118" s="22">
        <f>G109</f>
        <v/>
      </c>
      <c r="D118" s="22">
        <f>CEILING(XLOOKUP("The Gnonmen",FactionState[Faction],FactionState[Wealth])/2+XLOOKUP("The Gnonmen",FactionState[Faction],FactionState[Force])/4+XLOOKUP("The Gnonmen",FactionState[Faction],FactionState[Cunning])/4, 1)</f>
        <v/>
      </c>
      <c r="E118" s="22">
        <f>MAX(0,COUNTIFS(Register[Faction],"The Gnonmen",Register[Type],"Force")-XLOOKUP("The Gnonmen",FactionState[Faction],FactionState[Force]))+MAX(0,COUNTIFS(Register[Faction],"The Gnonmen",Register[Type],"Cunning")-XLOOKUP("The Gnonmen",FactionState[Faction],FactionState[Cunning]))+MAX(0,COUNTIFS(Register[Faction],"The Gnonmen",Register[Type],"Wealth")-XLOOKUP("The Gnonmen",FactionState[Faction],FactionState[Wealth]))+MAX(0,COUNTIFS(Register[Faction],"The Gnonmen",Register[Type],"Magic")-XLOOKUP("The Gnonmen",FactionState[Faction],FactionState[Magic]))</f>
        <v/>
      </c>
      <c r="F118" s="22">
        <f>IFERROR(VALUE('Action Sheet'!I117),0)</f>
        <v/>
      </c>
      <c r="G118" s="22">
        <f>C118+D118-E118-F118</f>
        <v/>
      </c>
      <c r="H118" s="22">
        <f>'Action Sheet'!D117</f>
        <v/>
      </c>
      <c r="I118" s="22">
        <f>'Action Sheet'!E117</f>
        <v/>
      </c>
      <c r="J118" s="22">
        <f>'Action Sheet'!H117</f>
        <v/>
      </c>
      <c r="K118" s="22">
        <f>IF(H118="Attack",RANDBETWEEN(1,10),"")</f>
        <v/>
      </c>
      <c r="L118" s="22">
        <f>IF(H118="Attack", K118+IFERROR(SWITCH(XLOOKUP(I118,Catalog[Name],Catalog[AtkAttr]),"Force",XLOOKUP("The Gnonmen",FactionState[Faction],FactionState[Force]),"Cunning",XLOOKUP("The Gnonmen",FactionState[Faction],FactionState[Cunning]),"Wealth",XLOOKUP("The Gnonmen",FactionState[Faction],FactionState[Wealth]),"Magic",XLOOKUP("The Gnonmen",FactionState[Faction],FactionState[Magic]),0),0),"")</f>
        <v/>
      </c>
      <c r="M118" s="22">
        <f>IF(H118="Attack",RANDBETWEEN(1,10),"")</f>
        <v/>
      </c>
      <c r="N118" s="22">
        <f>IF(H118="Attack", M118+IFERROR(LET(def_fac, XLOOKUP(J118,Register[Asset],Register[Faction]),def_attr, XLOOKUP(I118,Catalog[Name],Catalog[DefAttr]),SWITCH(def_attr,"Force",XLOOKUP(def_fac,FactionState[Faction],FactionState[Force]),"Cunning",XLOOKUP(def_fac,FactionState[Faction],FactionState[Cunning]),"Wealth",XLOOKUP(def_fac,FactionState[Faction],FactionState[Wealth]),"Magic",XLOOKUP(def_fac,FactionState[Faction],FactionState[Magic]),0)),0),"")</f>
        <v/>
      </c>
      <c r="O118" s="22">
        <f>IF(H118&lt;&gt;"Attack","",IF(AND(ISNUMBER(L118),ISNUMBER(N118)),IF(L118&gt;N118,"Attacker","Defender"),""))</f>
        <v/>
      </c>
      <c r="P118" s="22">
        <f>IF(O118="Attacker",IFERROR(LET(nn,XLOOKUP(I118,Catalog[Name],Catalog[DmgN]),dd,XLOOKUP(I118,Catalog[Name],Catalog[DmgDie]),IF(dd=0,0,RANDBETWEEN(1,dd)+IF(nn&gt;=2,RANDBETWEEN(1,dd),0))),0),"")</f>
        <v/>
      </c>
      <c r="Q118" s="22">
        <f>IF(O118="Defender",IFERROR(LET(nn,XLOOKUP(J118,Catalog[Name],Catalog[CtrN]),dd,XLOOKUP(J118,Catalog[Name],Catalog[CtrDie]),IF(dd=0,0,RANDBETWEEN(1,dd)+IF(nn&gt;=2,RANDBETWEEN(1,dd),0))),0),"")</f>
        <v/>
      </c>
    </row>
    <row r="119">
      <c r="A119" s="20" t="n">
        <v>13</v>
      </c>
      <c r="B119" s="21" t="inlineStr">
        <is>
          <t>The Substratals</t>
        </is>
      </c>
      <c r="C119" s="22">
        <f>G110</f>
        <v/>
      </c>
      <c r="D119" s="22">
        <f>CEILING(XLOOKUP("The Substratals",FactionState[Faction],FactionState[Wealth])/2+XLOOKUP("The Substratals",FactionState[Faction],FactionState[Force])/4+XLOOKUP("The Substratals",FactionState[Faction],FactionState[Cunning])/4, 1)</f>
        <v/>
      </c>
      <c r="E119" s="22">
        <f>MAX(0,COUNTIFS(Register[Faction],"The Substratals",Register[Type],"Force")-XLOOKUP("The Substratals",FactionState[Faction],FactionState[Force]))+MAX(0,COUNTIFS(Register[Faction],"The Substratals",Register[Type],"Cunning")-XLOOKUP("The Substratals",FactionState[Faction],FactionState[Cunning]))+MAX(0,COUNTIFS(Register[Faction],"The Substratals",Register[Type],"Wealth")-XLOOKUP("The Substratals",FactionState[Faction],FactionState[Wealth]))+MAX(0,COUNTIFS(Register[Faction],"The Substratals",Register[Type],"Magic")-XLOOKUP("The Substratals",FactionState[Faction],FactionState[Magic]))</f>
        <v/>
      </c>
      <c r="F119" s="22">
        <f>IFERROR(VALUE('Action Sheet'!I118),0)</f>
        <v/>
      </c>
      <c r="G119" s="22">
        <f>C119+D119-E119-F119</f>
        <v/>
      </c>
      <c r="H119" s="22">
        <f>'Action Sheet'!D118</f>
        <v/>
      </c>
      <c r="I119" s="22">
        <f>'Action Sheet'!E118</f>
        <v/>
      </c>
      <c r="J119" s="22">
        <f>'Action Sheet'!H118</f>
        <v/>
      </c>
      <c r="K119" s="22">
        <f>IF(H119="Attack",RANDBETWEEN(1,10),"")</f>
        <v/>
      </c>
      <c r="L119" s="22">
        <f>IF(H119="Attack", K119+IFERROR(SWITCH(XLOOKUP(I119,Catalog[Name],Catalog[AtkAttr]),"Force",XLOOKUP("The Substratals",FactionState[Faction],FactionState[Force]),"Cunning",XLOOKUP("The Substratals",FactionState[Faction],FactionState[Cunning]),"Wealth",XLOOKUP("The Substratals",FactionState[Faction],FactionState[Wealth]),"Magic",XLOOKUP("The Substratals",FactionState[Faction],FactionState[Magic]),0),0),"")</f>
        <v/>
      </c>
      <c r="M119" s="22">
        <f>IF(H119="Attack",RANDBETWEEN(1,10),"")</f>
        <v/>
      </c>
      <c r="N119" s="22">
        <f>IF(H119="Attack", M119+IFERROR(LET(def_fac, XLOOKUP(J119,Register[Asset],Register[Faction]),def_attr, XLOOKUP(I119,Catalog[Name],Catalog[DefAttr]),SWITCH(def_attr,"Force",XLOOKUP(def_fac,FactionState[Faction],FactionState[Force]),"Cunning",XLOOKUP(def_fac,FactionState[Faction],FactionState[Cunning]),"Wealth",XLOOKUP(def_fac,FactionState[Faction],FactionState[Wealth]),"Magic",XLOOKUP(def_fac,FactionState[Faction],FactionState[Magic]),0)),0),"")</f>
        <v/>
      </c>
      <c r="O119" s="22">
        <f>IF(H119&lt;&gt;"Attack","",IF(AND(ISNUMBER(L119),ISNUMBER(N119)),IF(L119&gt;N119,"Attacker","Defender"),""))</f>
        <v/>
      </c>
      <c r="P119" s="22">
        <f>IF(O119="Attacker",IFERROR(LET(nn,XLOOKUP(I119,Catalog[Name],Catalog[DmgN]),dd,XLOOKUP(I119,Catalog[Name],Catalog[DmgDie]),IF(dd=0,0,RANDBETWEEN(1,dd)+IF(nn&gt;=2,RANDBETWEEN(1,dd),0))),0),"")</f>
        <v/>
      </c>
      <c r="Q119" s="22">
        <f>IF(O119="Defender",IFERROR(LET(nn,XLOOKUP(J119,Catalog[Name],Catalog[CtrN]),dd,XLOOKUP(J119,Catalog[Name],Catalog[CtrDie]),IF(dd=0,0,RANDBETWEEN(1,dd)+IF(nn&gt;=2,RANDBETWEEN(1,dd),0))),0),"")</f>
        <v/>
      </c>
    </row>
    <row r="120">
      <c r="A120" s="20" t="n">
        <v>13</v>
      </c>
      <c r="B120" s="21" t="inlineStr">
        <is>
          <t>The Deep Janeen</t>
        </is>
      </c>
      <c r="C120" s="22">
        <f>G111</f>
        <v/>
      </c>
      <c r="D120" s="22">
        <f>CEILING(XLOOKUP("The Deep Janeen",FactionState[Faction],FactionState[Wealth])/2+XLOOKUP("The Deep Janeen",FactionState[Faction],FactionState[Force])/4+XLOOKUP("The Deep Janeen",FactionState[Faction],FactionState[Cunning])/4, 1)</f>
        <v/>
      </c>
      <c r="E120" s="22">
        <f>MAX(0,COUNTIFS(Register[Faction],"The Deep Janeen",Register[Type],"Force")-XLOOKUP("The Deep Janeen",FactionState[Faction],FactionState[Force]))+MAX(0,COUNTIFS(Register[Faction],"The Deep Janeen",Register[Type],"Cunning")-XLOOKUP("The Deep Janeen",FactionState[Faction],FactionState[Cunning]))+MAX(0,COUNTIFS(Register[Faction],"The Deep Janeen",Register[Type],"Wealth")-XLOOKUP("The Deep Janeen",FactionState[Faction],FactionState[Wealth]))+MAX(0,COUNTIFS(Register[Faction],"The Deep Janeen",Register[Type],"Magic")-XLOOKUP("The Deep Janeen",FactionState[Faction],FactionState[Magic]))</f>
        <v/>
      </c>
      <c r="F120" s="22">
        <f>IFERROR(VALUE('Action Sheet'!I119),0)</f>
        <v/>
      </c>
      <c r="G120" s="22">
        <f>C120+D120-E120-F120</f>
        <v/>
      </c>
      <c r="H120" s="22">
        <f>'Action Sheet'!D119</f>
        <v/>
      </c>
      <c r="I120" s="22">
        <f>'Action Sheet'!E119</f>
        <v/>
      </c>
      <c r="J120" s="22">
        <f>'Action Sheet'!H119</f>
        <v/>
      </c>
      <c r="K120" s="22">
        <f>IF(H120="Attack",RANDBETWEEN(1,10),"")</f>
        <v/>
      </c>
      <c r="L120" s="22">
        <f>IF(H120="Attack", K120+IFERROR(SWITCH(XLOOKUP(I120,Catalog[Name],Catalog[AtkAttr]),"Force",XLOOKUP("The Deep Janeen",FactionState[Faction],FactionState[Force]),"Cunning",XLOOKUP("The Deep Janeen",FactionState[Faction],FactionState[Cunning]),"Wealth",XLOOKUP("The Deep Janeen",FactionState[Faction],FactionState[Wealth]),"Magic",XLOOKUP("The Deep Janeen",FactionState[Faction],FactionState[Magic]),0),0),"")</f>
        <v/>
      </c>
      <c r="M120" s="22">
        <f>IF(H120="Attack",RANDBETWEEN(1,10),"")</f>
        <v/>
      </c>
      <c r="N120" s="22">
        <f>IF(H120="Attack", M120+IFERROR(LET(def_fac, XLOOKUP(J120,Register[Asset],Register[Faction]),def_attr, XLOOKUP(I120,Catalog[Name],Catalog[DefAttr]),SWITCH(def_attr,"Force",XLOOKUP(def_fac,FactionState[Faction],FactionState[Force]),"Cunning",XLOOKUP(def_fac,FactionState[Faction],FactionState[Cunning]),"Wealth",XLOOKUP(def_fac,FactionState[Faction],FactionState[Wealth]),"Magic",XLOOKUP(def_fac,FactionState[Faction],FactionState[Magic]),0)),0),"")</f>
        <v/>
      </c>
      <c r="O120" s="22">
        <f>IF(H120&lt;&gt;"Attack","",IF(AND(ISNUMBER(L120),ISNUMBER(N120)),IF(L120&gt;N120,"Attacker","Defender"),""))</f>
        <v/>
      </c>
      <c r="P120" s="22">
        <f>IF(O120="Attacker",IFERROR(LET(nn,XLOOKUP(I120,Catalog[Name],Catalog[DmgN]),dd,XLOOKUP(I120,Catalog[Name],Catalog[DmgDie]),IF(dd=0,0,RANDBETWEEN(1,dd)+IF(nn&gt;=2,RANDBETWEEN(1,dd),0))),0),"")</f>
        <v/>
      </c>
      <c r="Q120" s="22">
        <f>IF(O120="Defender",IFERROR(LET(nn,XLOOKUP(J120,Catalog[Name],Catalog[CtrN]),dd,XLOOKUP(J120,Catalog[Name],Catalog[CtrDie]),IF(dd=0,0,RANDBETWEEN(1,dd)+IF(nn&gt;=2,RANDBETWEEN(1,dd),0))),0),"")</f>
        <v/>
      </c>
    </row>
    <row r="121">
      <c r="A121" s="20" t="n">
        <v>13</v>
      </c>
      <c r="B121" s="21" t="inlineStr">
        <is>
          <t>The Olm</t>
        </is>
      </c>
      <c r="C121" s="22">
        <f>G112</f>
        <v/>
      </c>
      <c r="D121" s="22">
        <f>CEILING(XLOOKUP("The Olm",FactionState[Faction],FactionState[Wealth])/2+XLOOKUP("The Olm",FactionState[Faction],FactionState[Force])/4+XLOOKUP("The Olm",FactionState[Faction],FactionState[Cunning])/4, 1)</f>
        <v/>
      </c>
      <c r="E121" s="22">
        <f>MAX(0,COUNTIFS(Register[Faction],"The Olm",Register[Type],"Force")-XLOOKUP("The Olm",FactionState[Faction],FactionState[Force]))+MAX(0,COUNTIFS(Register[Faction],"The Olm",Register[Type],"Cunning")-XLOOKUP("The Olm",FactionState[Faction],FactionState[Cunning]))+MAX(0,COUNTIFS(Register[Faction],"The Olm",Register[Type],"Wealth")-XLOOKUP("The Olm",FactionState[Faction],FactionState[Wealth]))+MAX(0,COUNTIFS(Register[Faction],"The Olm",Register[Type],"Magic")-XLOOKUP("The Olm",FactionState[Faction],FactionState[Magic]))</f>
        <v/>
      </c>
      <c r="F121" s="22">
        <f>IFERROR(VALUE('Action Sheet'!I120),0)</f>
        <v/>
      </c>
      <c r="G121" s="22">
        <f>C121+D121-E121-F121</f>
        <v/>
      </c>
      <c r="H121" s="22">
        <f>'Action Sheet'!D120</f>
        <v/>
      </c>
      <c r="I121" s="22">
        <f>'Action Sheet'!E120</f>
        <v/>
      </c>
      <c r="J121" s="22">
        <f>'Action Sheet'!H120</f>
        <v/>
      </c>
      <c r="K121" s="22">
        <f>IF(H121="Attack",RANDBETWEEN(1,10),"")</f>
        <v/>
      </c>
      <c r="L121" s="22">
        <f>IF(H121="Attack", K121+IFERROR(SWITCH(XLOOKUP(I121,Catalog[Name],Catalog[AtkAttr]),"Force",XLOOKUP("The Olm",FactionState[Faction],FactionState[Force]),"Cunning",XLOOKUP("The Olm",FactionState[Faction],FactionState[Cunning]),"Wealth",XLOOKUP("The Olm",FactionState[Faction],FactionState[Wealth]),"Magic",XLOOKUP("The Olm",FactionState[Faction],FactionState[Magic]),0),0),"")</f>
        <v/>
      </c>
      <c r="M121" s="22">
        <f>IF(H121="Attack",RANDBETWEEN(1,10),"")</f>
        <v/>
      </c>
      <c r="N121" s="22">
        <f>IF(H121="Attack", M121+IFERROR(LET(def_fac, XLOOKUP(J121,Register[Asset],Register[Faction]),def_attr, XLOOKUP(I121,Catalog[Name],Catalog[DefAttr]),SWITCH(def_attr,"Force",XLOOKUP(def_fac,FactionState[Faction],FactionState[Force]),"Cunning",XLOOKUP(def_fac,FactionState[Faction],FactionState[Cunning]),"Wealth",XLOOKUP(def_fac,FactionState[Faction],FactionState[Wealth]),"Magic",XLOOKUP(def_fac,FactionState[Faction],FactionState[Magic]),0)),0),"")</f>
        <v/>
      </c>
      <c r="O121" s="22">
        <f>IF(H121&lt;&gt;"Attack","",IF(AND(ISNUMBER(L121),ISNUMBER(N121)),IF(L121&gt;N121,"Attacker","Defender"),""))</f>
        <v/>
      </c>
      <c r="P121" s="22">
        <f>IF(O121="Attacker",IFERROR(LET(nn,XLOOKUP(I121,Catalog[Name],Catalog[DmgN]),dd,XLOOKUP(I121,Catalog[Name],Catalog[DmgDie]),IF(dd=0,0,RANDBETWEEN(1,dd)+IF(nn&gt;=2,RANDBETWEEN(1,dd),0))),0),"")</f>
        <v/>
      </c>
      <c r="Q121" s="22">
        <f>IF(O121="Defender",IFERROR(LET(nn,XLOOKUP(J121,Catalog[Name],Catalog[CtrN]),dd,XLOOKUP(J121,Catalog[Name],Catalog[CtrDie]),IF(dd=0,0,RANDBETWEEN(1,dd)+IF(nn&gt;=2,RANDBETWEEN(1,dd),0))),0),"")</f>
        <v/>
      </c>
    </row>
    <row r="122">
      <c r="A122" s="23" t="n">
        <v>14</v>
      </c>
      <c r="B122" s="24" t="inlineStr">
        <is>
          <t>The Knotsmen</t>
        </is>
      </c>
      <c r="C122" s="25">
        <f>G113</f>
        <v/>
      </c>
      <c r="D122" s="25">
        <f>CEILING(XLOOKUP("The Knotsmen",FactionState[Faction],FactionState[Wealth])/2+XLOOKUP("The Knotsmen",FactionState[Faction],FactionState[Force])/4+XLOOKUP("The Knotsmen",FactionState[Faction],FactionState[Cunning])/4, 1)</f>
        <v/>
      </c>
      <c r="E122" s="25">
        <f>MAX(0,COUNTIFS(Register[Faction],"The Knotsmen",Register[Type],"Force")-XLOOKUP("The Knotsmen",FactionState[Faction],FactionState[Force]))+MAX(0,COUNTIFS(Register[Faction],"The Knotsmen",Register[Type],"Cunning")-XLOOKUP("The Knotsmen",FactionState[Faction],FactionState[Cunning]))+MAX(0,COUNTIFS(Register[Faction],"The Knotsmen",Register[Type],"Wealth")-XLOOKUP("The Knotsmen",FactionState[Faction],FactionState[Wealth]))+MAX(0,COUNTIFS(Register[Faction],"The Knotsmen",Register[Type],"Magic")-XLOOKUP("The Knotsmen",FactionState[Faction],FactionState[Magic]))</f>
        <v/>
      </c>
      <c r="F122" s="25">
        <f>IFERROR(VALUE('Action Sheet'!I121),0)</f>
        <v/>
      </c>
      <c r="G122" s="25">
        <f>C122+D122-E122-F122</f>
        <v/>
      </c>
      <c r="H122" s="25">
        <f>'Action Sheet'!D121</f>
        <v/>
      </c>
      <c r="I122" s="25">
        <f>'Action Sheet'!E121</f>
        <v/>
      </c>
      <c r="J122" s="25">
        <f>'Action Sheet'!H121</f>
        <v/>
      </c>
      <c r="K122" s="25">
        <f>IF(H122="Attack",RANDBETWEEN(1,10),"")</f>
        <v/>
      </c>
      <c r="L122" s="25">
        <f>IF(H122="Attack", K122+IFERROR(SWITCH(XLOOKUP(I122,Catalog[Name],Catalog[AtkAttr]),"Force",XLOOKUP("The Knotsmen",FactionState[Faction],FactionState[Force]),"Cunning",XLOOKUP("The Knotsmen",FactionState[Faction],FactionState[Cunning]),"Wealth",XLOOKUP("The Knotsmen",FactionState[Faction],FactionState[Wealth]),"Magic",XLOOKUP("The Knotsmen",FactionState[Faction],FactionState[Magic]),0),0),"")</f>
        <v/>
      </c>
      <c r="M122" s="25">
        <f>IF(H122="Attack",RANDBETWEEN(1,10),"")</f>
        <v/>
      </c>
      <c r="N122" s="25">
        <f>IF(H122="Attack", M122+IFERROR(LET(def_fac, XLOOKUP(J122,Register[Asset],Register[Faction]),def_attr, XLOOKUP(I122,Catalog[Name],Catalog[DefAttr]),SWITCH(def_attr,"Force",XLOOKUP(def_fac,FactionState[Faction],FactionState[Force]),"Cunning",XLOOKUP(def_fac,FactionState[Faction],FactionState[Cunning]),"Wealth",XLOOKUP(def_fac,FactionState[Faction],FactionState[Wealth]),"Magic",XLOOKUP(def_fac,FactionState[Faction],FactionState[Magic]),0)),0),"")</f>
        <v/>
      </c>
      <c r="O122" s="25">
        <f>IF(H122&lt;&gt;"Attack","",IF(AND(ISNUMBER(L122),ISNUMBER(N122)),IF(L122&gt;N122,"Attacker","Defender"),""))</f>
        <v/>
      </c>
      <c r="P122" s="25">
        <f>IF(O122="Attacker",IFERROR(LET(nn,XLOOKUP(I122,Catalog[Name],Catalog[DmgN]),dd,XLOOKUP(I122,Catalog[Name],Catalog[DmgDie]),IF(dd=0,0,RANDBETWEEN(1,dd)+IF(nn&gt;=2,RANDBETWEEN(1,dd),0))),0),"")</f>
        <v/>
      </c>
      <c r="Q122" s="25">
        <f>IF(O122="Defender",IFERROR(LET(nn,XLOOKUP(J122,Catalog[Name],Catalog[CtrN]),dd,XLOOKUP(J122,Catalog[Name],Catalog[CtrDie]),IF(dd=0,0,RANDBETWEEN(1,dd)+IF(nn&gt;=2,RANDBETWEEN(1,dd),0))),0),"")</f>
        <v/>
      </c>
    </row>
    <row r="123">
      <c r="A123" s="23" t="n">
        <v>14</v>
      </c>
      <c r="B123" s="24" t="inlineStr">
        <is>
          <t>The Aelf-Adal</t>
        </is>
      </c>
      <c r="C123" s="25">
        <f>G114</f>
        <v/>
      </c>
      <c r="D123" s="25">
        <f>CEILING(XLOOKUP("The Aelf-Adal",FactionState[Faction],FactionState[Wealth])/2+XLOOKUP("The Aelf-Adal",FactionState[Faction],FactionState[Force])/4+XLOOKUP("The Aelf-Adal",FactionState[Faction],FactionState[Cunning])/4, 1)</f>
        <v/>
      </c>
      <c r="E123" s="25">
        <f>MAX(0,COUNTIFS(Register[Faction],"The Aelf-Adal",Register[Type],"Force")-XLOOKUP("The Aelf-Adal",FactionState[Faction],FactionState[Force]))+MAX(0,COUNTIFS(Register[Faction],"The Aelf-Adal",Register[Type],"Cunning")-XLOOKUP("The Aelf-Adal",FactionState[Faction],FactionState[Cunning]))+MAX(0,COUNTIFS(Register[Faction],"The Aelf-Adal",Register[Type],"Wealth")-XLOOKUP("The Aelf-Adal",FactionState[Faction],FactionState[Wealth]))+MAX(0,COUNTIFS(Register[Faction],"The Aelf-Adal",Register[Type],"Magic")-XLOOKUP("The Aelf-Adal",FactionState[Faction],FactionState[Magic]))</f>
        <v/>
      </c>
      <c r="F123" s="25">
        <f>IFERROR(VALUE('Action Sheet'!I122),0)</f>
        <v/>
      </c>
      <c r="G123" s="25">
        <f>C123+D123-E123-F123</f>
        <v/>
      </c>
      <c r="H123" s="25">
        <f>'Action Sheet'!D122</f>
        <v/>
      </c>
      <c r="I123" s="25">
        <f>'Action Sheet'!E122</f>
        <v/>
      </c>
      <c r="J123" s="25">
        <f>'Action Sheet'!H122</f>
        <v/>
      </c>
      <c r="K123" s="25">
        <f>IF(H123="Attack",RANDBETWEEN(1,10),"")</f>
        <v/>
      </c>
      <c r="L123" s="25">
        <f>IF(H123="Attack", K123+IFERROR(SWITCH(XLOOKUP(I123,Catalog[Name],Catalog[AtkAttr]),"Force",XLOOKUP("The Aelf-Adal",FactionState[Faction],FactionState[Force]),"Cunning",XLOOKUP("The Aelf-Adal",FactionState[Faction],FactionState[Cunning]),"Wealth",XLOOKUP("The Aelf-Adal",FactionState[Faction],FactionState[Wealth]),"Magic",XLOOKUP("The Aelf-Adal",FactionState[Faction],FactionState[Magic]),0),0),"")</f>
        <v/>
      </c>
      <c r="M123" s="25">
        <f>IF(H123="Attack",RANDBETWEEN(1,10),"")</f>
        <v/>
      </c>
      <c r="N123" s="25">
        <f>IF(H123="Attack", M123+IFERROR(LET(def_fac, XLOOKUP(J123,Register[Asset],Register[Faction]),def_attr, XLOOKUP(I123,Catalog[Name],Catalog[DefAttr]),SWITCH(def_attr,"Force",XLOOKUP(def_fac,FactionState[Faction],FactionState[Force]),"Cunning",XLOOKUP(def_fac,FactionState[Faction],FactionState[Cunning]),"Wealth",XLOOKUP(def_fac,FactionState[Faction],FactionState[Wealth]),"Magic",XLOOKUP(def_fac,FactionState[Faction],FactionState[Magic]),0)),0),"")</f>
        <v/>
      </c>
      <c r="O123" s="25">
        <f>IF(H123&lt;&gt;"Attack","",IF(AND(ISNUMBER(L123),ISNUMBER(N123)),IF(L123&gt;N123,"Attacker","Defender"),""))</f>
        <v/>
      </c>
      <c r="P123" s="25">
        <f>IF(O123="Attacker",IFERROR(LET(nn,XLOOKUP(I123,Catalog[Name],Catalog[DmgN]),dd,XLOOKUP(I123,Catalog[Name],Catalog[DmgDie]),IF(dd=0,0,RANDBETWEEN(1,dd)+IF(nn&gt;=2,RANDBETWEEN(1,dd),0))),0),"")</f>
        <v/>
      </c>
      <c r="Q123" s="25">
        <f>IF(O123="Defender",IFERROR(LET(nn,XLOOKUP(J123,Catalog[Name],Catalog[CtrN]),dd,XLOOKUP(J123,Catalog[Name],Catalog[CtrDie]),IF(dd=0,0,RANDBETWEEN(1,dd)+IF(nn&gt;=2,RANDBETWEEN(1,dd),0))),0),"")</f>
        <v/>
      </c>
    </row>
    <row r="124">
      <c r="A124" s="23" t="n">
        <v>14</v>
      </c>
      <c r="B124" s="24" t="inlineStr">
        <is>
          <t>The Funginids</t>
        </is>
      </c>
      <c r="C124" s="25">
        <f>G115</f>
        <v/>
      </c>
      <c r="D124" s="25">
        <f>CEILING(XLOOKUP("The Funginids",FactionState[Faction],FactionState[Wealth])/2+XLOOKUP("The Funginids",FactionState[Faction],FactionState[Force])/4+XLOOKUP("The Funginids",FactionState[Faction],FactionState[Cunning])/4, 1)</f>
        <v/>
      </c>
      <c r="E124" s="25">
        <f>MAX(0,COUNTIFS(Register[Faction],"The Funginids",Register[Type],"Force")-XLOOKUP("The Funginids",FactionState[Faction],FactionState[Force]))+MAX(0,COUNTIFS(Register[Faction],"The Funginids",Register[Type],"Cunning")-XLOOKUP("The Funginids",FactionState[Faction],FactionState[Cunning]))+MAX(0,COUNTIFS(Register[Faction],"The Funginids",Register[Type],"Wealth")-XLOOKUP("The Funginids",FactionState[Faction],FactionState[Wealth]))+MAX(0,COUNTIFS(Register[Faction],"The Funginids",Register[Type],"Magic")-XLOOKUP("The Funginids",FactionState[Faction],FactionState[Magic]))</f>
        <v/>
      </c>
      <c r="F124" s="25">
        <f>IFERROR(VALUE('Action Sheet'!I123),0)</f>
        <v/>
      </c>
      <c r="G124" s="25">
        <f>C124+D124-E124-F124</f>
        <v/>
      </c>
      <c r="H124" s="25">
        <f>'Action Sheet'!D123</f>
        <v/>
      </c>
      <c r="I124" s="25">
        <f>'Action Sheet'!E123</f>
        <v/>
      </c>
      <c r="J124" s="25">
        <f>'Action Sheet'!H123</f>
        <v/>
      </c>
      <c r="K124" s="25">
        <f>IF(H124="Attack",RANDBETWEEN(1,10),"")</f>
        <v/>
      </c>
      <c r="L124" s="25">
        <f>IF(H124="Attack", K124+IFERROR(SWITCH(XLOOKUP(I124,Catalog[Name],Catalog[AtkAttr]),"Force",XLOOKUP("The Funginids",FactionState[Faction],FactionState[Force]),"Cunning",XLOOKUP("The Funginids",FactionState[Faction],FactionState[Cunning]),"Wealth",XLOOKUP("The Funginids",FactionState[Faction],FactionState[Wealth]),"Magic",XLOOKUP("The Funginids",FactionState[Faction],FactionState[Magic]),0),0),"")</f>
        <v/>
      </c>
      <c r="M124" s="25">
        <f>IF(H124="Attack",RANDBETWEEN(1,10),"")</f>
        <v/>
      </c>
      <c r="N124" s="25">
        <f>IF(H124="Attack", M124+IFERROR(LET(def_fac, XLOOKUP(J124,Register[Asset],Register[Faction]),def_attr, XLOOKUP(I124,Catalog[Name],Catalog[DefAttr]),SWITCH(def_attr,"Force",XLOOKUP(def_fac,FactionState[Faction],FactionState[Force]),"Cunning",XLOOKUP(def_fac,FactionState[Faction],FactionState[Cunning]),"Wealth",XLOOKUP(def_fac,FactionState[Faction],FactionState[Wealth]),"Magic",XLOOKUP(def_fac,FactionState[Faction],FactionState[Magic]),0)),0),"")</f>
        <v/>
      </c>
      <c r="O124" s="25">
        <f>IF(H124&lt;&gt;"Attack","",IF(AND(ISNUMBER(L124),ISNUMBER(N124)),IF(L124&gt;N124,"Attacker","Defender"),""))</f>
        <v/>
      </c>
      <c r="P124" s="25">
        <f>IF(O124="Attacker",IFERROR(LET(nn,XLOOKUP(I124,Catalog[Name],Catalog[DmgN]),dd,XLOOKUP(I124,Catalog[Name],Catalog[DmgDie]),IF(dd=0,0,RANDBETWEEN(1,dd)+IF(nn&gt;=2,RANDBETWEEN(1,dd),0))),0),"")</f>
        <v/>
      </c>
      <c r="Q124" s="25">
        <f>IF(O124="Defender",IFERROR(LET(nn,XLOOKUP(J124,Catalog[Name],Catalog[CtrN]),dd,XLOOKUP(J124,Catalog[Name],Catalog[CtrDie]),IF(dd=0,0,RANDBETWEEN(1,dd)+IF(nn&gt;=2,RANDBETWEEN(1,dd),0))),0),"")</f>
        <v/>
      </c>
    </row>
    <row r="125">
      <c r="A125" s="23" t="n">
        <v>14</v>
      </c>
      <c r="B125" s="24" t="inlineStr">
        <is>
          <t>The dErO</t>
        </is>
      </c>
      <c r="C125" s="25">
        <f>G116</f>
        <v/>
      </c>
      <c r="D125" s="25">
        <f>CEILING(XLOOKUP("The dErO",FactionState[Faction],FactionState[Wealth])/2+XLOOKUP("The dErO",FactionState[Faction],FactionState[Force])/4+XLOOKUP("The dErO",FactionState[Faction],FactionState[Cunning])/4, 1)</f>
        <v/>
      </c>
      <c r="E125" s="25">
        <f>MAX(0,COUNTIFS(Register[Faction],"The dErO",Register[Type],"Force")-XLOOKUP("The dErO",FactionState[Faction],FactionState[Force]))+MAX(0,COUNTIFS(Register[Faction],"The dErO",Register[Type],"Cunning")-XLOOKUP("The dErO",FactionState[Faction],FactionState[Cunning]))+MAX(0,COUNTIFS(Register[Faction],"The dErO",Register[Type],"Wealth")-XLOOKUP("The dErO",FactionState[Faction],FactionState[Wealth]))+MAX(0,COUNTIFS(Register[Faction],"The dErO",Register[Type],"Magic")-XLOOKUP("The dErO",FactionState[Faction],FactionState[Magic]))</f>
        <v/>
      </c>
      <c r="F125" s="25">
        <f>IFERROR(VALUE('Action Sheet'!I124),0)</f>
        <v/>
      </c>
      <c r="G125" s="25">
        <f>C125+D125-E125-F125</f>
        <v/>
      </c>
      <c r="H125" s="25">
        <f>'Action Sheet'!D124</f>
        <v/>
      </c>
      <c r="I125" s="25">
        <f>'Action Sheet'!E124</f>
        <v/>
      </c>
      <c r="J125" s="25">
        <f>'Action Sheet'!H124</f>
        <v/>
      </c>
      <c r="K125" s="25">
        <f>IF(H125="Attack",RANDBETWEEN(1,10),"")</f>
        <v/>
      </c>
      <c r="L125" s="25">
        <f>IF(H125="Attack", K125+IFERROR(SWITCH(XLOOKUP(I125,Catalog[Name],Catalog[AtkAttr]),"Force",XLOOKUP("The dErO",FactionState[Faction],FactionState[Force]),"Cunning",XLOOKUP("The dErO",FactionState[Faction],FactionState[Cunning]),"Wealth",XLOOKUP("The dErO",FactionState[Faction],FactionState[Wealth]),"Magic",XLOOKUP("The dErO",FactionState[Faction],FactionState[Magic]),0),0),"")</f>
        <v/>
      </c>
      <c r="M125" s="25">
        <f>IF(H125="Attack",RANDBETWEEN(1,10),"")</f>
        <v/>
      </c>
      <c r="N125" s="25">
        <f>IF(H125="Attack", M125+IFERROR(LET(def_fac, XLOOKUP(J125,Register[Asset],Register[Faction]),def_attr, XLOOKUP(I125,Catalog[Name],Catalog[DefAttr]),SWITCH(def_attr,"Force",XLOOKUP(def_fac,FactionState[Faction],FactionState[Force]),"Cunning",XLOOKUP(def_fac,FactionState[Faction],FactionState[Cunning]),"Wealth",XLOOKUP(def_fac,FactionState[Faction],FactionState[Wealth]),"Magic",XLOOKUP(def_fac,FactionState[Faction],FactionState[Magic]),0)),0),"")</f>
        <v/>
      </c>
      <c r="O125" s="25">
        <f>IF(H125&lt;&gt;"Attack","",IF(AND(ISNUMBER(L125),ISNUMBER(N125)),IF(L125&gt;N125,"Attacker","Defender"),""))</f>
        <v/>
      </c>
      <c r="P125" s="25">
        <f>IF(O125="Attacker",IFERROR(LET(nn,XLOOKUP(I125,Catalog[Name],Catalog[DmgN]),dd,XLOOKUP(I125,Catalog[Name],Catalog[DmgDie]),IF(dd=0,0,RANDBETWEEN(1,dd)+IF(nn&gt;=2,RANDBETWEEN(1,dd),0))),0),"")</f>
        <v/>
      </c>
      <c r="Q125" s="25">
        <f>IF(O125="Defender",IFERROR(LET(nn,XLOOKUP(J125,Catalog[Name],Catalog[CtrN]),dd,XLOOKUP(J125,Catalog[Name],Catalog[CtrDie]),IF(dd=0,0,RANDBETWEEN(1,dd)+IF(nn&gt;=2,RANDBETWEEN(1,dd),0))),0),"")</f>
        <v/>
      </c>
    </row>
    <row r="126">
      <c r="A126" s="23" t="n">
        <v>14</v>
      </c>
      <c r="B126" s="24" t="inlineStr">
        <is>
          <t>The Dvargir</t>
        </is>
      </c>
      <c r="C126" s="25">
        <f>G117</f>
        <v/>
      </c>
      <c r="D126" s="25">
        <f>CEILING(XLOOKUP("The Dvargir",FactionState[Faction],FactionState[Wealth])/2+XLOOKUP("The Dvargir",FactionState[Faction],FactionState[Force])/4+XLOOKUP("The Dvargir",FactionState[Faction],FactionState[Cunning])/4, 1)</f>
        <v/>
      </c>
      <c r="E126" s="25">
        <f>MAX(0,COUNTIFS(Register[Faction],"The Dvargir",Register[Type],"Force")-XLOOKUP("The Dvargir",FactionState[Faction],FactionState[Force]))+MAX(0,COUNTIFS(Register[Faction],"The Dvargir",Register[Type],"Cunning")-XLOOKUP("The Dvargir",FactionState[Faction],FactionState[Cunning]))+MAX(0,COUNTIFS(Register[Faction],"The Dvargir",Register[Type],"Wealth")-XLOOKUP("The Dvargir",FactionState[Faction],FactionState[Wealth]))+MAX(0,COUNTIFS(Register[Faction],"The Dvargir",Register[Type],"Magic")-XLOOKUP("The Dvargir",FactionState[Faction],FactionState[Magic]))</f>
        <v/>
      </c>
      <c r="F126" s="25">
        <f>IFERROR(VALUE('Action Sheet'!I125),0)</f>
        <v/>
      </c>
      <c r="G126" s="25">
        <f>C126+D126-E126-F126</f>
        <v/>
      </c>
      <c r="H126" s="25">
        <f>'Action Sheet'!D125</f>
        <v/>
      </c>
      <c r="I126" s="25">
        <f>'Action Sheet'!E125</f>
        <v/>
      </c>
      <c r="J126" s="25">
        <f>'Action Sheet'!H125</f>
        <v/>
      </c>
      <c r="K126" s="25">
        <f>IF(H126="Attack",RANDBETWEEN(1,10),"")</f>
        <v/>
      </c>
      <c r="L126" s="25">
        <f>IF(H126="Attack", K126+IFERROR(SWITCH(XLOOKUP(I126,Catalog[Name],Catalog[AtkAttr]),"Force",XLOOKUP("The Dvargir",FactionState[Faction],FactionState[Force]),"Cunning",XLOOKUP("The Dvargir",FactionState[Faction],FactionState[Cunning]),"Wealth",XLOOKUP("The Dvargir",FactionState[Faction],FactionState[Wealth]),"Magic",XLOOKUP("The Dvargir",FactionState[Faction],FactionState[Magic]),0),0),"")</f>
        <v/>
      </c>
      <c r="M126" s="25">
        <f>IF(H126="Attack",RANDBETWEEN(1,10),"")</f>
        <v/>
      </c>
      <c r="N126" s="25">
        <f>IF(H126="Attack", M126+IFERROR(LET(def_fac, XLOOKUP(J126,Register[Asset],Register[Faction]),def_attr, XLOOKUP(I126,Catalog[Name],Catalog[DefAttr]),SWITCH(def_attr,"Force",XLOOKUP(def_fac,FactionState[Faction],FactionState[Force]),"Cunning",XLOOKUP(def_fac,FactionState[Faction],FactionState[Cunning]),"Wealth",XLOOKUP(def_fac,FactionState[Faction],FactionState[Wealth]),"Magic",XLOOKUP(def_fac,FactionState[Faction],FactionState[Magic]),0)),0),"")</f>
        <v/>
      </c>
      <c r="O126" s="25">
        <f>IF(H126&lt;&gt;"Attack","",IF(AND(ISNUMBER(L126),ISNUMBER(N126)),IF(L126&gt;N126,"Attacker","Defender"),""))</f>
        <v/>
      </c>
      <c r="P126" s="25">
        <f>IF(O126="Attacker",IFERROR(LET(nn,XLOOKUP(I126,Catalog[Name],Catalog[DmgN]),dd,XLOOKUP(I126,Catalog[Name],Catalog[DmgDie]),IF(dd=0,0,RANDBETWEEN(1,dd)+IF(nn&gt;=2,RANDBETWEEN(1,dd),0))),0),"")</f>
        <v/>
      </c>
      <c r="Q126" s="25">
        <f>IF(O126="Defender",IFERROR(LET(nn,XLOOKUP(J126,Catalog[Name],Catalog[CtrN]),dd,XLOOKUP(J126,Catalog[Name],Catalog[CtrDie]),IF(dd=0,0,RANDBETWEEN(1,dd)+IF(nn&gt;=2,RANDBETWEEN(1,dd),0))),0),"")</f>
        <v/>
      </c>
    </row>
    <row r="127">
      <c r="A127" s="23" t="n">
        <v>14</v>
      </c>
      <c r="B127" s="24" t="inlineStr">
        <is>
          <t>The Gnonmen</t>
        </is>
      </c>
      <c r="C127" s="25">
        <f>G118</f>
        <v/>
      </c>
      <c r="D127" s="25">
        <f>CEILING(XLOOKUP("The Gnonmen",FactionState[Faction],FactionState[Wealth])/2+XLOOKUP("The Gnonmen",FactionState[Faction],FactionState[Force])/4+XLOOKUP("The Gnonmen",FactionState[Faction],FactionState[Cunning])/4, 1)</f>
        <v/>
      </c>
      <c r="E127" s="25">
        <f>MAX(0,COUNTIFS(Register[Faction],"The Gnonmen",Register[Type],"Force")-XLOOKUP("The Gnonmen",FactionState[Faction],FactionState[Force]))+MAX(0,COUNTIFS(Register[Faction],"The Gnonmen",Register[Type],"Cunning")-XLOOKUP("The Gnonmen",FactionState[Faction],FactionState[Cunning]))+MAX(0,COUNTIFS(Register[Faction],"The Gnonmen",Register[Type],"Wealth")-XLOOKUP("The Gnonmen",FactionState[Faction],FactionState[Wealth]))+MAX(0,COUNTIFS(Register[Faction],"The Gnonmen",Register[Type],"Magic")-XLOOKUP("The Gnonmen",FactionState[Faction],FactionState[Magic]))</f>
        <v/>
      </c>
      <c r="F127" s="25">
        <f>IFERROR(VALUE('Action Sheet'!I126),0)</f>
        <v/>
      </c>
      <c r="G127" s="25">
        <f>C127+D127-E127-F127</f>
        <v/>
      </c>
      <c r="H127" s="25">
        <f>'Action Sheet'!D126</f>
        <v/>
      </c>
      <c r="I127" s="25">
        <f>'Action Sheet'!E126</f>
        <v/>
      </c>
      <c r="J127" s="25">
        <f>'Action Sheet'!H126</f>
        <v/>
      </c>
      <c r="K127" s="25">
        <f>IF(H127="Attack",RANDBETWEEN(1,10),"")</f>
        <v/>
      </c>
      <c r="L127" s="25">
        <f>IF(H127="Attack", K127+IFERROR(SWITCH(XLOOKUP(I127,Catalog[Name],Catalog[AtkAttr]),"Force",XLOOKUP("The Gnonmen",FactionState[Faction],FactionState[Force]),"Cunning",XLOOKUP("The Gnonmen",FactionState[Faction],FactionState[Cunning]),"Wealth",XLOOKUP("The Gnonmen",FactionState[Faction],FactionState[Wealth]),"Magic",XLOOKUP("The Gnonmen",FactionState[Faction],FactionState[Magic]),0),0),"")</f>
        <v/>
      </c>
      <c r="M127" s="25">
        <f>IF(H127="Attack",RANDBETWEEN(1,10),"")</f>
        <v/>
      </c>
      <c r="N127" s="25">
        <f>IF(H127="Attack", M127+IFERROR(LET(def_fac, XLOOKUP(J127,Register[Asset],Register[Faction]),def_attr, XLOOKUP(I127,Catalog[Name],Catalog[DefAttr]),SWITCH(def_attr,"Force",XLOOKUP(def_fac,FactionState[Faction],FactionState[Force]),"Cunning",XLOOKUP(def_fac,FactionState[Faction],FactionState[Cunning]),"Wealth",XLOOKUP(def_fac,FactionState[Faction],FactionState[Wealth]),"Magic",XLOOKUP(def_fac,FactionState[Faction],FactionState[Magic]),0)),0),"")</f>
        <v/>
      </c>
      <c r="O127" s="25">
        <f>IF(H127&lt;&gt;"Attack","",IF(AND(ISNUMBER(L127),ISNUMBER(N127)),IF(L127&gt;N127,"Attacker","Defender"),""))</f>
        <v/>
      </c>
      <c r="P127" s="25">
        <f>IF(O127="Attacker",IFERROR(LET(nn,XLOOKUP(I127,Catalog[Name],Catalog[DmgN]),dd,XLOOKUP(I127,Catalog[Name],Catalog[DmgDie]),IF(dd=0,0,RANDBETWEEN(1,dd)+IF(nn&gt;=2,RANDBETWEEN(1,dd),0))),0),"")</f>
        <v/>
      </c>
      <c r="Q127" s="25">
        <f>IF(O127="Defender",IFERROR(LET(nn,XLOOKUP(J127,Catalog[Name],Catalog[CtrN]),dd,XLOOKUP(J127,Catalog[Name],Catalog[CtrDie]),IF(dd=0,0,RANDBETWEEN(1,dd)+IF(nn&gt;=2,RANDBETWEEN(1,dd),0))),0),"")</f>
        <v/>
      </c>
    </row>
    <row r="128">
      <c r="A128" s="23" t="n">
        <v>14</v>
      </c>
      <c r="B128" s="24" t="inlineStr">
        <is>
          <t>The Substratals</t>
        </is>
      </c>
      <c r="C128" s="25">
        <f>G119</f>
        <v/>
      </c>
      <c r="D128" s="25">
        <f>CEILING(XLOOKUP("The Substratals",FactionState[Faction],FactionState[Wealth])/2+XLOOKUP("The Substratals",FactionState[Faction],FactionState[Force])/4+XLOOKUP("The Substratals",FactionState[Faction],FactionState[Cunning])/4, 1)</f>
        <v/>
      </c>
      <c r="E128" s="25">
        <f>MAX(0,COUNTIFS(Register[Faction],"The Substratals",Register[Type],"Force")-XLOOKUP("The Substratals",FactionState[Faction],FactionState[Force]))+MAX(0,COUNTIFS(Register[Faction],"The Substratals",Register[Type],"Cunning")-XLOOKUP("The Substratals",FactionState[Faction],FactionState[Cunning]))+MAX(0,COUNTIFS(Register[Faction],"The Substratals",Register[Type],"Wealth")-XLOOKUP("The Substratals",FactionState[Faction],FactionState[Wealth]))+MAX(0,COUNTIFS(Register[Faction],"The Substratals",Register[Type],"Magic")-XLOOKUP("The Substratals",FactionState[Faction],FactionState[Magic]))</f>
        <v/>
      </c>
      <c r="F128" s="25">
        <f>IFERROR(VALUE('Action Sheet'!I127),0)</f>
        <v/>
      </c>
      <c r="G128" s="25">
        <f>C128+D128-E128-F128</f>
        <v/>
      </c>
      <c r="H128" s="25">
        <f>'Action Sheet'!D127</f>
        <v/>
      </c>
      <c r="I128" s="25">
        <f>'Action Sheet'!E127</f>
        <v/>
      </c>
      <c r="J128" s="25">
        <f>'Action Sheet'!H127</f>
        <v/>
      </c>
      <c r="K128" s="25">
        <f>IF(H128="Attack",RANDBETWEEN(1,10),"")</f>
        <v/>
      </c>
      <c r="L128" s="25">
        <f>IF(H128="Attack", K128+IFERROR(SWITCH(XLOOKUP(I128,Catalog[Name],Catalog[AtkAttr]),"Force",XLOOKUP("The Substratals",FactionState[Faction],FactionState[Force]),"Cunning",XLOOKUP("The Substratals",FactionState[Faction],FactionState[Cunning]),"Wealth",XLOOKUP("The Substratals",FactionState[Faction],FactionState[Wealth]),"Magic",XLOOKUP("The Substratals",FactionState[Faction],FactionState[Magic]),0),0),"")</f>
        <v/>
      </c>
      <c r="M128" s="25">
        <f>IF(H128="Attack",RANDBETWEEN(1,10),"")</f>
        <v/>
      </c>
      <c r="N128" s="25">
        <f>IF(H128="Attack", M128+IFERROR(LET(def_fac, XLOOKUP(J128,Register[Asset],Register[Faction]),def_attr, XLOOKUP(I128,Catalog[Name],Catalog[DefAttr]),SWITCH(def_attr,"Force",XLOOKUP(def_fac,FactionState[Faction],FactionState[Force]),"Cunning",XLOOKUP(def_fac,FactionState[Faction],FactionState[Cunning]),"Wealth",XLOOKUP(def_fac,FactionState[Faction],FactionState[Wealth]),"Magic",XLOOKUP(def_fac,FactionState[Faction],FactionState[Magic]),0)),0),"")</f>
        <v/>
      </c>
      <c r="O128" s="25">
        <f>IF(H128&lt;&gt;"Attack","",IF(AND(ISNUMBER(L128),ISNUMBER(N128)),IF(L128&gt;N128,"Attacker","Defender"),""))</f>
        <v/>
      </c>
      <c r="P128" s="25">
        <f>IF(O128="Attacker",IFERROR(LET(nn,XLOOKUP(I128,Catalog[Name],Catalog[DmgN]),dd,XLOOKUP(I128,Catalog[Name],Catalog[DmgDie]),IF(dd=0,0,RANDBETWEEN(1,dd)+IF(nn&gt;=2,RANDBETWEEN(1,dd),0))),0),"")</f>
        <v/>
      </c>
      <c r="Q128" s="25">
        <f>IF(O128="Defender",IFERROR(LET(nn,XLOOKUP(J128,Catalog[Name],Catalog[CtrN]),dd,XLOOKUP(J128,Catalog[Name],Catalog[CtrDie]),IF(dd=0,0,RANDBETWEEN(1,dd)+IF(nn&gt;=2,RANDBETWEEN(1,dd),0))),0),"")</f>
        <v/>
      </c>
    </row>
    <row r="129">
      <c r="A129" s="23" t="n">
        <v>14</v>
      </c>
      <c r="B129" s="24" t="inlineStr">
        <is>
          <t>The Deep Janeen</t>
        </is>
      </c>
      <c r="C129" s="25">
        <f>G120</f>
        <v/>
      </c>
      <c r="D129" s="25">
        <f>CEILING(XLOOKUP("The Deep Janeen",FactionState[Faction],FactionState[Wealth])/2+XLOOKUP("The Deep Janeen",FactionState[Faction],FactionState[Force])/4+XLOOKUP("The Deep Janeen",FactionState[Faction],FactionState[Cunning])/4, 1)</f>
        <v/>
      </c>
      <c r="E129" s="25">
        <f>MAX(0,COUNTIFS(Register[Faction],"The Deep Janeen",Register[Type],"Force")-XLOOKUP("The Deep Janeen",FactionState[Faction],FactionState[Force]))+MAX(0,COUNTIFS(Register[Faction],"The Deep Janeen",Register[Type],"Cunning")-XLOOKUP("The Deep Janeen",FactionState[Faction],FactionState[Cunning]))+MAX(0,COUNTIFS(Register[Faction],"The Deep Janeen",Register[Type],"Wealth")-XLOOKUP("The Deep Janeen",FactionState[Faction],FactionState[Wealth]))+MAX(0,COUNTIFS(Register[Faction],"The Deep Janeen",Register[Type],"Magic")-XLOOKUP("The Deep Janeen",FactionState[Faction],FactionState[Magic]))</f>
        <v/>
      </c>
      <c r="F129" s="25">
        <f>IFERROR(VALUE('Action Sheet'!I128),0)</f>
        <v/>
      </c>
      <c r="G129" s="25">
        <f>C129+D129-E129-F129</f>
        <v/>
      </c>
      <c r="H129" s="25">
        <f>'Action Sheet'!D128</f>
        <v/>
      </c>
      <c r="I129" s="25">
        <f>'Action Sheet'!E128</f>
        <v/>
      </c>
      <c r="J129" s="25">
        <f>'Action Sheet'!H128</f>
        <v/>
      </c>
      <c r="K129" s="25">
        <f>IF(H129="Attack",RANDBETWEEN(1,10),"")</f>
        <v/>
      </c>
      <c r="L129" s="25">
        <f>IF(H129="Attack", K129+IFERROR(SWITCH(XLOOKUP(I129,Catalog[Name],Catalog[AtkAttr]),"Force",XLOOKUP("The Deep Janeen",FactionState[Faction],FactionState[Force]),"Cunning",XLOOKUP("The Deep Janeen",FactionState[Faction],FactionState[Cunning]),"Wealth",XLOOKUP("The Deep Janeen",FactionState[Faction],FactionState[Wealth]),"Magic",XLOOKUP("The Deep Janeen",FactionState[Faction],FactionState[Magic]),0),0),"")</f>
        <v/>
      </c>
      <c r="M129" s="25">
        <f>IF(H129="Attack",RANDBETWEEN(1,10),"")</f>
        <v/>
      </c>
      <c r="N129" s="25">
        <f>IF(H129="Attack", M129+IFERROR(LET(def_fac, XLOOKUP(J129,Register[Asset],Register[Faction]),def_attr, XLOOKUP(I129,Catalog[Name],Catalog[DefAttr]),SWITCH(def_attr,"Force",XLOOKUP(def_fac,FactionState[Faction],FactionState[Force]),"Cunning",XLOOKUP(def_fac,FactionState[Faction],FactionState[Cunning]),"Wealth",XLOOKUP(def_fac,FactionState[Faction],FactionState[Wealth]),"Magic",XLOOKUP(def_fac,FactionState[Faction],FactionState[Magic]),0)),0),"")</f>
        <v/>
      </c>
      <c r="O129" s="25">
        <f>IF(H129&lt;&gt;"Attack","",IF(AND(ISNUMBER(L129),ISNUMBER(N129)),IF(L129&gt;N129,"Attacker","Defender"),""))</f>
        <v/>
      </c>
      <c r="P129" s="25">
        <f>IF(O129="Attacker",IFERROR(LET(nn,XLOOKUP(I129,Catalog[Name],Catalog[DmgN]),dd,XLOOKUP(I129,Catalog[Name],Catalog[DmgDie]),IF(dd=0,0,RANDBETWEEN(1,dd)+IF(nn&gt;=2,RANDBETWEEN(1,dd),0))),0),"")</f>
        <v/>
      </c>
      <c r="Q129" s="25">
        <f>IF(O129="Defender",IFERROR(LET(nn,XLOOKUP(J129,Catalog[Name],Catalog[CtrN]),dd,XLOOKUP(J129,Catalog[Name],Catalog[CtrDie]),IF(dd=0,0,RANDBETWEEN(1,dd)+IF(nn&gt;=2,RANDBETWEEN(1,dd),0))),0),"")</f>
        <v/>
      </c>
    </row>
    <row r="130">
      <c r="A130" s="23" t="n">
        <v>14</v>
      </c>
      <c r="B130" s="24" t="inlineStr">
        <is>
          <t>The Olm</t>
        </is>
      </c>
      <c r="C130" s="25">
        <f>G121</f>
        <v/>
      </c>
      <c r="D130" s="25">
        <f>CEILING(XLOOKUP("The Olm",FactionState[Faction],FactionState[Wealth])/2+XLOOKUP("The Olm",FactionState[Faction],FactionState[Force])/4+XLOOKUP("The Olm",FactionState[Faction],FactionState[Cunning])/4, 1)</f>
        <v/>
      </c>
      <c r="E130" s="25">
        <f>MAX(0,COUNTIFS(Register[Faction],"The Olm",Register[Type],"Force")-XLOOKUP("The Olm",FactionState[Faction],FactionState[Force]))+MAX(0,COUNTIFS(Register[Faction],"The Olm",Register[Type],"Cunning")-XLOOKUP("The Olm",FactionState[Faction],FactionState[Cunning]))+MAX(0,COUNTIFS(Register[Faction],"The Olm",Register[Type],"Wealth")-XLOOKUP("The Olm",FactionState[Faction],FactionState[Wealth]))+MAX(0,COUNTIFS(Register[Faction],"The Olm",Register[Type],"Magic")-XLOOKUP("The Olm",FactionState[Faction],FactionState[Magic]))</f>
        <v/>
      </c>
      <c r="F130" s="25">
        <f>IFERROR(VALUE('Action Sheet'!I129),0)</f>
        <v/>
      </c>
      <c r="G130" s="25">
        <f>C130+D130-E130-F130</f>
        <v/>
      </c>
      <c r="H130" s="25">
        <f>'Action Sheet'!D129</f>
        <v/>
      </c>
      <c r="I130" s="25">
        <f>'Action Sheet'!E129</f>
        <v/>
      </c>
      <c r="J130" s="25">
        <f>'Action Sheet'!H129</f>
        <v/>
      </c>
      <c r="K130" s="25">
        <f>IF(H130="Attack",RANDBETWEEN(1,10),"")</f>
        <v/>
      </c>
      <c r="L130" s="25">
        <f>IF(H130="Attack", K130+IFERROR(SWITCH(XLOOKUP(I130,Catalog[Name],Catalog[AtkAttr]),"Force",XLOOKUP("The Olm",FactionState[Faction],FactionState[Force]),"Cunning",XLOOKUP("The Olm",FactionState[Faction],FactionState[Cunning]),"Wealth",XLOOKUP("The Olm",FactionState[Faction],FactionState[Wealth]),"Magic",XLOOKUP("The Olm",FactionState[Faction],FactionState[Magic]),0),0),"")</f>
        <v/>
      </c>
      <c r="M130" s="25">
        <f>IF(H130="Attack",RANDBETWEEN(1,10),"")</f>
        <v/>
      </c>
      <c r="N130" s="25">
        <f>IF(H130="Attack", M130+IFERROR(LET(def_fac, XLOOKUP(J130,Register[Asset],Register[Faction]),def_attr, XLOOKUP(I130,Catalog[Name],Catalog[DefAttr]),SWITCH(def_attr,"Force",XLOOKUP(def_fac,FactionState[Faction],FactionState[Force]),"Cunning",XLOOKUP(def_fac,FactionState[Faction],FactionState[Cunning]),"Wealth",XLOOKUP(def_fac,FactionState[Faction],FactionState[Wealth]),"Magic",XLOOKUP(def_fac,FactionState[Faction],FactionState[Magic]),0)),0),"")</f>
        <v/>
      </c>
      <c r="O130" s="25">
        <f>IF(H130&lt;&gt;"Attack","",IF(AND(ISNUMBER(L130),ISNUMBER(N130)),IF(L130&gt;N130,"Attacker","Defender"),""))</f>
        <v/>
      </c>
      <c r="P130" s="25">
        <f>IF(O130="Attacker",IFERROR(LET(nn,XLOOKUP(I130,Catalog[Name],Catalog[DmgN]),dd,XLOOKUP(I130,Catalog[Name],Catalog[DmgDie]),IF(dd=0,0,RANDBETWEEN(1,dd)+IF(nn&gt;=2,RANDBETWEEN(1,dd),0))),0),"")</f>
        <v/>
      </c>
      <c r="Q130" s="25">
        <f>IF(O130="Defender",IFERROR(LET(nn,XLOOKUP(J130,Catalog[Name],Catalog[CtrN]),dd,XLOOKUP(J130,Catalog[Name],Catalog[CtrDie]),IF(dd=0,0,RANDBETWEEN(1,dd)+IF(nn&gt;=2,RANDBETWEEN(1,dd),0))),0),"")</f>
        <v/>
      </c>
    </row>
    <row r="131">
      <c r="A131" s="20" t="n">
        <v>15</v>
      </c>
      <c r="B131" s="21" t="inlineStr">
        <is>
          <t>The Knotsmen</t>
        </is>
      </c>
      <c r="C131" s="22">
        <f>G122</f>
        <v/>
      </c>
      <c r="D131" s="22">
        <f>CEILING(XLOOKUP("The Knotsmen",FactionState[Faction],FactionState[Wealth])/2+XLOOKUP("The Knotsmen",FactionState[Faction],FactionState[Force])/4+XLOOKUP("The Knotsmen",FactionState[Faction],FactionState[Cunning])/4, 1)</f>
        <v/>
      </c>
      <c r="E131" s="22">
        <f>MAX(0,COUNTIFS(Register[Faction],"The Knotsmen",Register[Type],"Force")-XLOOKUP("The Knotsmen",FactionState[Faction],FactionState[Force]))+MAX(0,COUNTIFS(Register[Faction],"The Knotsmen",Register[Type],"Cunning")-XLOOKUP("The Knotsmen",FactionState[Faction],FactionState[Cunning]))+MAX(0,COUNTIFS(Register[Faction],"The Knotsmen",Register[Type],"Wealth")-XLOOKUP("The Knotsmen",FactionState[Faction],FactionState[Wealth]))+MAX(0,COUNTIFS(Register[Faction],"The Knotsmen",Register[Type],"Magic")-XLOOKUP("The Knotsmen",FactionState[Faction],FactionState[Magic]))</f>
        <v/>
      </c>
      <c r="F131" s="22">
        <f>IFERROR(VALUE('Action Sheet'!I130),0)</f>
        <v/>
      </c>
      <c r="G131" s="22">
        <f>C131+D131-E131-F131</f>
        <v/>
      </c>
      <c r="H131" s="22">
        <f>'Action Sheet'!D130</f>
        <v/>
      </c>
      <c r="I131" s="22">
        <f>'Action Sheet'!E130</f>
        <v/>
      </c>
      <c r="J131" s="22">
        <f>'Action Sheet'!H130</f>
        <v/>
      </c>
      <c r="K131" s="22">
        <f>IF(H131="Attack",RANDBETWEEN(1,10),"")</f>
        <v/>
      </c>
      <c r="L131" s="22">
        <f>IF(H131="Attack", K131+IFERROR(SWITCH(XLOOKUP(I131,Catalog[Name],Catalog[AtkAttr]),"Force",XLOOKUP("The Knotsmen",FactionState[Faction],FactionState[Force]),"Cunning",XLOOKUP("The Knotsmen",FactionState[Faction],FactionState[Cunning]),"Wealth",XLOOKUP("The Knotsmen",FactionState[Faction],FactionState[Wealth]),"Magic",XLOOKUP("The Knotsmen",FactionState[Faction],FactionState[Magic]),0),0),"")</f>
        <v/>
      </c>
      <c r="M131" s="22">
        <f>IF(H131="Attack",RANDBETWEEN(1,10),"")</f>
        <v/>
      </c>
      <c r="N131" s="22">
        <f>IF(H131="Attack", M131+IFERROR(LET(def_fac, XLOOKUP(J131,Register[Asset],Register[Faction]),def_attr, XLOOKUP(I131,Catalog[Name],Catalog[DefAttr]),SWITCH(def_attr,"Force",XLOOKUP(def_fac,FactionState[Faction],FactionState[Force]),"Cunning",XLOOKUP(def_fac,FactionState[Faction],FactionState[Cunning]),"Wealth",XLOOKUP(def_fac,FactionState[Faction],FactionState[Wealth]),"Magic",XLOOKUP(def_fac,FactionState[Faction],FactionState[Magic]),0)),0),"")</f>
        <v/>
      </c>
      <c r="O131" s="22">
        <f>IF(H131&lt;&gt;"Attack","",IF(AND(ISNUMBER(L131),ISNUMBER(N131)),IF(L131&gt;N131,"Attacker","Defender"),""))</f>
        <v/>
      </c>
      <c r="P131" s="22">
        <f>IF(O131="Attacker",IFERROR(LET(nn,XLOOKUP(I131,Catalog[Name],Catalog[DmgN]),dd,XLOOKUP(I131,Catalog[Name],Catalog[DmgDie]),IF(dd=0,0,RANDBETWEEN(1,dd)+IF(nn&gt;=2,RANDBETWEEN(1,dd),0))),0),"")</f>
        <v/>
      </c>
      <c r="Q131" s="22">
        <f>IF(O131="Defender",IFERROR(LET(nn,XLOOKUP(J131,Catalog[Name],Catalog[CtrN]),dd,XLOOKUP(J131,Catalog[Name],Catalog[CtrDie]),IF(dd=0,0,RANDBETWEEN(1,dd)+IF(nn&gt;=2,RANDBETWEEN(1,dd),0))),0),"")</f>
        <v/>
      </c>
    </row>
    <row r="132">
      <c r="A132" s="20" t="n">
        <v>15</v>
      </c>
      <c r="B132" s="21" t="inlineStr">
        <is>
          <t>The Aelf-Adal</t>
        </is>
      </c>
      <c r="C132" s="22">
        <f>G123</f>
        <v/>
      </c>
      <c r="D132" s="22">
        <f>CEILING(XLOOKUP("The Aelf-Adal",FactionState[Faction],FactionState[Wealth])/2+XLOOKUP("The Aelf-Adal",FactionState[Faction],FactionState[Force])/4+XLOOKUP("The Aelf-Adal",FactionState[Faction],FactionState[Cunning])/4, 1)</f>
        <v/>
      </c>
      <c r="E132" s="22">
        <f>MAX(0,COUNTIFS(Register[Faction],"The Aelf-Adal",Register[Type],"Force")-XLOOKUP("The Aelf-Adal",FactionState[Faction],FactionState[Force]))+MAX(0,COUNTIFS(Register[Faction],"The Aelf-Adal",Register[Type],"Cunning")-XLOOKUP("The Aelf-Adal",FactionState[Faction],FactionState[Cunning]))+MAX(0,COUNTIFS(Register[Faction],"The Aelf-Adal",Register[Type],"Wealth")-XLOOKUP("The Aelf-Adal",FactionState[Faction],FactionState[Wealth]))+MAX(0,COUNTIFS(Register[Faction],"The Aelf-Adal",Register[Type],"Magic")-XLOOKUP("The Aelf-Adal",FactionState[Faction],FactionState[Magic]))</f>
        <v/>
      </c>
      <c r="F132" s="22">
        <f>IFERROR(VALUE('Action Sheet'!I131),0)</f>
        <v/>
      </c>
      <c r="G132" s="22">
        <f>C132+D132-E132-F132</f>
        <v/>
      </c>
      <c r="H132" s="22">
        <f>'Action Sheet'!D131</f>
        <v/>
      </c>
      <c r="I132" s="22">
        <f>'Action Sheet'!E131</f>
        <v/>
      </c>
      <c r="J132" s="22">
        <f>'Action Sheet'!H131</f>
        <v/>
      </c>
      <c r="K132" s="22">
        <f>IF(H132="Attack",RANDBETWEEN(1,10),"")</f>
        <v/>
      </c>
      <c r="L132" s="22">
        <f>IF(H132="Attack", K132+IFERROR(SWITCH(XLOOKUP(I132,Catalog[Name],Catalog[AtkAttr]),"Force",XLOOKUP("The Aelf-Adal",FactionState[Faction],FactionState[Force]),"Cunning",XLOOKUP("The Aelf-Adal",FactionState[Faction],FactionState[Cunning]),"Wealth",XLOOKUP("The Aelf-Adal",FactionState[Faction],FactionState[Wealth]),"Magic",XLOOKUP("The Aelf-Adal",FactionState[Faction],FactionState[Magic]),0),0),"")</f>
        <v/>
      </c>
      <c r="M132" s="22">
        <f>IF(H132="Attack",RANDBETWEEN(1,10),"")</f>
        <v/>
      </c>
      <c r="N132" s="22">
        <f>IF(H132="Attack", M132+IFERROR(LET(def_fac, XLOOKUP(J132,Register[Asset],Register[Faction]),def_attr, XLOOKUP(I132,Catalog[Name],Catalog[DefAttr]),SWITCH(def_attr,"Force",XLOOKUP(def_fac,FactionState[Faction],FactionState[Force]),"Cunning",XLOOKUP(def_fac,FactionState[Faction],FactionState[Cunning]),"Wealth",XLOOKUP(def_fac,FactionState[Faction],FactionState[Wealth]),"Magic",XLOOKUP(def_fac,FactionState[Faction],FactionState[Magic]),0)),0),"")</f>
        <v/>
      </c>
      <c r="O132" s="22">
        <f>IF(H132&lt;&gt;"Attack","",IF(AND(ISNUMBER(L132),ISNUMBER(N132)),IF(L132&gt;N132,"Attacker","Defender"),""))</f>
        <v/>
      </c>
      <c r="P132" s="22">
        <f>IF(O132="Attacker",IFERROR(LET(nn,XLOOKUP(I132,Catalog[Name],Catalog[DmgN]),dd,XLOOKUP(I132,Catalog[Name],Catalog[DmgDie]),IF(dd=0,0,RANDBETWEEN(1,dd)+IF(nn&gt;=2,RANDBETWEEN(1,dd),0))),0),"")</f>
        <v/>
      </c>
      <c r="Q132" s="22">
        <f>IF(O132="Defender",IFERROR(LET(nn,XLOOKUP(J132,Catalog[Name],Catalog[CtrN]),dd,XLOOKUP(J132,Catalog[Name],Catalog[CtrDie]),IF(dd=0,0,RANDBETWEEN(1,dd)+IF(nn&gt;=2,RANDBETWEEN(1,dd),0))),0),"")</f>
        <v/>
      </c>
    </row>
    <row r="133">
      <c r="A133" s="20" t="n">
        <v>15</v>
      </c>
      <c r="B133" s="21" t="inlineStr">
        <is>
          <t>The Funginids</t>
        </is>
      </c>
      <c r="C133" s="22">
        <f>G124</f>
        <v/>
      </c>
      <c r="D133" s="22">
        <f>CEILING(XLOOKUP("The Funginids",FactionState[Faction],FactionState[Wealth])/2+XLOOKUP("The Funginids",FactionState[Faction],FactionState[Force])/4+XLOOKUP("The Funginids",FactionState[Faction],FactionState[Cunning])/4, 1)</f>
        <v/>
      </c>
      <c r="E133" s="22">
        <f>MAX(0,COUNTIFS(Register[Faction],"The Funginids",Register[Type],"Force")-XLOOKUP("The Funginids",FactionState[Faction],FactionState[Force]))+MAX(0,COUNTIFS(Register[Faction],"The Funginids",Register[Type],"Cunning")-XLOOKUP("The Funginids",FactionState[Faction],FactionState[Cunning]))+MAX(0,COUNTIFS(Register[Faction],"The Funginids",Register[Type],"Wealth")-XLOOKUP("The Funginids",FactionState[Faction],FactionState[Wealth]))+MAX(0,COUNTIFS(Register[Faction],"The Funginids",Register[Type],"Magic")-XLOOKUP("The Funginids",FactionState[Faction],FactionState[Magic]))</f>
        <v/>
      </c>
      <c r="F133" s="22">
        <f>IFERROR(VALUE('Action Sheet'!I132),0)</f>
        <v/>
      </c>
      <c r="G133" s="22">
        <f>C133+D133-E133-F133</f>
        <v/>
      </c>
      <c r="H133" s="22">
        <f>'Action Sheet'!D132</f>
        <v/>
      </c>
      <c r="I133" s="22">
        <f>'Action Sheet'!E132</f>
        <v/>
      </c>
      <c r="J133" s="22">
        <f>'Action Sheet'!H132</f>
        <v/>
      </c>
      <c r="K133" s="22">
        <f>IF(H133="Attack",RANDBETWEEN(1,10),"")</f>
        <v/>
      </c>
      <c r="L133" s="22">
        <f>IF(H133="Attack", K133+IFERROR(SWITCH(XLOOKUP(I133,Catalog[Name],Catalog[AtkAttr]),"Force",XLOOKUP("The Funginids",FactionState[Faction],FactionState[Force]),"Cunning",XLOOKUP("The Funginids",FactionState[Faction],FactionState[Cunning]),"Wealth",XLOOKUP("The Funginids",FactionState[Faction],FactionState[Wealth]),"Magic",XLOOKUP("The Funginids",FactionState[Faction],FactionState[Magic]),0),0),"")</f>
        <v/>
      </c>
      <c r="M133" s="22">
        <f>IF(H133="Attack",RANDBETWEEN(1,10),"")</f>
        <v/>
      </c>
      <c r="N133" s="22">
        <f>IF(H133="Attack", M133+IFERROR(LET(def_fac, XLOOKUP(J133,Register[Asset],Register[Faction]),def_attr, XLOOKUP(I133,Catalog[Name],Catalog[DefAttr]),SWITCH(def_attr,"Force",XLOOKUP(def_fac,FactionState[Faction],FactionState[Force]),"Cunning",XLOOKUP(def_fac,FactionState[Faction],FactionState[Cunning]),"Wealth",XLOOKUP(def_fac,FactionState[Faction],FactionState[Wealth]),"Magic",XLOOKUP(def_fac,FactionState[Faction],FactionState[Magic]),0)),0),"")</f>
        <v/>
      </c>
      <c r="O133" s="22">
        <f>IF(H133&lt;&gt;"Attack","",IF(AND(ISNUMBER(L133),ISNUMBER(N133)),IF(L133&gt;N133,"Attacker","Defender"),""))</f>
        <v/>
      </c>
      <c r="P133" s="22">
        <f>IF(O133="Attacker",IFERROR(LET(nn,XLOOKUP(I133,Catalog[Name],Catalog[DmgN]),dd,XLOOKUP(I133,Catalog[Name],Catalog[DmgDie]),IF(dd=0,0,RANDBETWEEN(1,dd)+IF(nn&gt;=2,RANDBETWEEN(1,dd),0))),0),"")</f>
        <v/>
      </c>
      <c r="Q133" s="22">
        <f>IF(O133="Defender",IFERROR(LET(nn,XLOOKUP(J133,Catalog[Name],Catalog[CtrN]),dd,XLOOKUP(J133,Catalog[Name],Catalog[CtrDie]),IF(dd=0,0,RANDBETWEEN(1,dd)+IF(nn&gt;=2,RANDBETWEEN(1,dd),0))),0),"")</f>
        <v/>
      </c>
    </row>
    <row r="134">
      <c r="A134" s="20" t="n">
        <v>15</v>
      </c>
      <c r="B134" s="21" t="inlineStr">
        <is>
          <t>The dErO</t>
        </is>
      </c>
      <c r="C134" s="22">
        <f>G125</f>
        <v/>
      </c>
      <c r="D134" s="22">
        <f>CEILING(XLOOKUP("The dErO",FactionState[Faction],FactionState[Wealth])/2+XLOOKUP("The dErO",FactionState[Faction],FactionState[Force])/4+XLOOKUP("The dErO",FactionState[Faction],FactionState[Cunning])/4, 1)</f>
        <v/>
      </c>
      <c r="E134" s="22">
        <f>MAX(0,COUNTIFS(Register[Faction],"The dErO",Register[Type],"Force")-XLOOKUP("The dErO",FactionState[Faction],FactionState[Force]))+MAX(0,COUNTIFS(Register[Faction],"The dErO",Register[Type],"Cunning")-XLOOKUP("The dErO",FactionState[Faction],FactionState[Cunning]))+MAX(0,COUNTIFS(Register[Faction],"The dErO",Register[Type],"Wealth")-XLOOKUP("The dErO",FactionState[Faction],FactionState[Wealth]))+MAX(0,COUNTIFS(Register[Faction],"The dErO",Register[Type],"Magic")-XLOOKUP("The dErO",FactionState[Faction],FactionState[Magic]))</f>
        <v/>
      </c>
      <c r="F134" s="22">
        <f>IFERROR(VALUE('Action Sheet'!I133),0)</f>
        <v/>
      </c>
      <c r="G134" s="22">
        <f>C134+D134-E134-F134</f>
        <v/>
      </c>
      <c r="H134" s="22">
        <f>'Action Sheet'!D133</f>
        <v/>
      </c>
      <c r="I134" s="22">
        <f>'Action Sheet'!E133</f>
        <v/>
      </c>
      <c r="J134" s="22">
        <f>'Action Sheet'!H133</f>
        <v/>
      </c>
      <c r="K134" s="22">
        <f>IF(H134="Attack",RANDBETWEEN(1,10),"")</f>
        <v/>
      </c>
      <c r="L134" s="22">
        <f>IF(H134="Attack", K134+IFERROR(SWITCH(XLOOKUP(I134,Catalog[Name],Catalog[AtkAttr]),"Force",XLOOKUP("The dErO",FactionState[Faction],FactionState[Force]),"Cunning",XLOOKUP("The dErO",FactionState[Faction],FactionState[Cunning]),"Wealth",XLOOKUP("The dErO",FactionState[Faction],FactionState[Wealth]),"Magic",XLOOKUP("The dErO",FactionState[Faction],FactionState[Magic]),0),0),"")</f>
        <v/>
      </c>
      <c r="M134" s="22">
        <f>IF(H134="Attack",RANDBETWEEN(1,10),"")</f>
        <v/>
      </c>
      <c r="N134" s="22">
        <f>IF(H134="Attack", M134+IFERROR(LET(def_fac, XLOOKUP(J134,Register[Asset],Register[Faction]),def_attr, XLOOKUP(I134,Catalog[Name],Catalog[DefAttr]),SWITCH(def_attr,"Force",XLOOKUP(def_fac,FactionState[Faction],FactionState[Force]),"Cunning",XLOOKUP(def_fac,FactionState[Faction],FactionState[Cunning]),"Wealth",XLOOKUP(def_fac,FactionState[Faction],FactionState[Wealth]),"Magic",XLOOKUP(def_fac,FactionState[Faction],FactionState[Magic]),0)),0),"")</f>
        <v/>
      </c>
      <c r="O134" s="22">
        <f>IF(H134&lt;&gt;"Attack","",IF(AND(ISNUMBER(L134),ISNUMBER(N134)),IF(L134&gt;N134,"Attacker","Defender"),""))</f>
        <v/>
      </c>
      <c r="P134" s="22">
        <f>IF(O134="Attacker",IFERROR(LET(nn,XLOOKUP(I134,Catalog[Name],Catalog[DmgN]),dd,XLOOKUP(I134,Catalog[Name],Catalog[DmgDie]),IF(dd=0,0,RANDBETWEEN(1,dd)+IF(nn&gt;=2,RANDBETWEEN(1,dd),0))),0),"")</f>
        <v/>
      </c>
      <c r="Q134" s="22">
        <f>IF(O134="Defender",IFERROR(LET(nn,XLOOKUP(J134,Catalog[Name],Catalog[CtrN]),dd,XLOOKUP(J134,Catalog[Name],Catalog[CtrDie]),IF(dd=0,0,RANDBETWEEN(1,dd)+IF(nn&gt;=2,RANDBETWEEN(1,dd),0))),0),"")</f>
        <v/>
      </c>
    </row>
    <row r="135">
      <c r="A135" s="20" t="n">
        <v>15</v>
      </c>
      <c r="B135" s="21" t="inlineStr">
        <is>
          <t>The Dvargir</t>
        </is>
      </c>
      <c r="C135" s="22">
        <f>G126</f>
        <v/>
      </c>
      <c r="D135" s="22">
        <f>CEILING(XLOOKUP("The Dvargir",FactionState[Faction],FactionState[Wealth])/2+XLOOKUP("The Dvargir",FactionState[Faction],FactionState[Force])/4+XLOOKUP("The Dvargir",FactionState[Faction],FactionState[Cunning])/4, 1)</f>
        <v/>
      </c>
      <c r="E135" s="22">
        <f>MAX(0,COUNTIFS(Register[Faction],"The Dvargir",Register[Type],"Force")-XLOOKUP("The Dvargir",FactionState[Faction],FactionState[Force]))+MAX(0,COUNTIFS(Register[Faction],"The Dvargir",Register[Type],"Cunning")-XLOOKUP("The Dvargir",FactionState[Faction],FactionState[Cunning]))+MAX(0,COUNTIFS(Register[Faction],"The Dvargir",Register[Type],"Wealth")-XLOOKUP("The Dvargir",FactionState[Faction],FactionState[Wealth]))+MAX(0,COUNTIFS(Register[Faction],"The Dvargir",Register[Type],"Magic")-XLOOKUP("The Dvargir",FactionState[Faction],FactionState[Magic]))</f>
        <v/>
      </c>
      <c r="F135" s="22">
        <f>IFERROR(VALUE('Action Sheet'!I134),0)</f>
        <v/>
      </c>
      <c r="G135" s="22">
        <f>C135+D135-E135-F135</f>
        <v/>
      </c>
      <c r="H135" s="22">
        <f>'Action Sheet'!D134</f>
        <v/>
      </c>
      <c r="I135" s="22">
        <f>'Action Sheet'!E134</f>
        <v/>
      </c>
      <c r="J135" s="22">
        <f>'Action Sheet'!H134</f>
        <v/>
      </c>
      <c r="K135" s="22">
        <f>IF(H135="Attack",RANDBETWEEN(1,10),"")</f>
        <v/>
      </c>
      <c r="L135" s="22">
        <f>IF(H135="Attack", K135+IFERROR(SWITCH(XLOOKUP(I135,Catalog[Name],Catalog[AtkAttr]),"Force",XLOOKUP("The Dvargir",FactionState[Faction],FactionState[Force]),"Cunning",XLOOKUP("The Dvargir",FactionState[Faction],FactionState[Cunning]),"Wealth",XLOOKUP("The Dvargir",FactionState[Faction],FactionState[Wealth]),"Magic",XLOOKUP("The Dvargir",FactionState[Faction],FactionState[Magic]),0),0),"")</f>
        <v/>
      </c>
      <c r="M135" s="22">
        <f>IF(H135="Attack",RANDBETWEEN(1,10),"")</f>
        <v/>
      </c>
      <c r="N135" s="22">
        <f>IF(H135="Attack", M135+IFERROR(LET(def_fac, XLOOKUP(J135,Register[Asset],Register[Faction]),def_attr, XLOOKUP(I135,Catalog[Name],Catalog[DefAttr]),SWITCH(def_attr,"Force",XLOOKUP(def_fac,FactionState[Faction],FactionState[Force]),"Cunning",XLOOKUP(def_fac,FactionState[Faction],FactionState[Cunning]),"Wealth",XLOOKUP(def_fac,FactionState[Faction],FactionState[Wealth]),"Magic",XLOOKUP(def_fac,FactionState[Faction],FactionState[Magic]),0)),0),"")</f>
        <v/>
      </c>
      <c r="O135" s="22">
        <f>IF(H135&lt;&gt;"Attack","",IF(AND(ISNUMBER(L135),ISNUMBER(N135)),IF(L135&gt;N135,"Attacker","Defender"),""))</f>
        <v/>
      </c>
      <c r="P135" s="22">
        <f>IF(O135="Attacker",IFERROR(LET(nn,XLOOKUP(I135,Catalog[Name],Catalog[DmgN]),dd,XLOOKUP(I135,Catalog[Name],Catalog[DmgDie]),IF(dd=0,0,RANDBETWEEN(1,dd)+IF(nn&gt;=2,RANDBETWEEN(1,dd),0))),0),"")</f>
        <v/>
      </c>
      <c r="Q135" s="22">
        <f>IF(O135="Defender",IFERROR(LET(nn,XLOOKUP(J135,Catalog[Name],Catalog[CtrN]),dd,XLOOKUP(J135,Catalog[Name],Catalog[CtrDie]),IF(dd=0,0,RANDBETWEEN(1,dd)+IF(nn&gt;=2,RANDBETWEEN(1,dd),0))),0),"")</f>
        <v/>
      </c>
    </row>
    <row r="136">
      <c r="A136" s="20" t="n">
        <v>15</v>
      </c>
      <c r="B136" s="21" t="inlineStr">
        <is>
          <t>The Gnonmen</t>
        </is>
      </c>
      <c r="C136" s="22">
        <f>G127</f>
        <v/>
      </c>
      <c r="D136" s="22">
        <f>CEILING(XLOOKUP("The Gnonmen",FactionState[Faction],FactionState[Wealth])/2+XLOOKUP("The Gnonmen",FactionState[Faction],FactionState[Force])/4+XLOOKUP("The Gnonmen",FactionState[Faction],FactionState[Cunning])/4, 1)</f>
        <v/>
      </c>
      <c r="E136" s="22">
        <f>MAX(0,COUNTIFS(Register[Faction],"The Gnonmen",Register[Type],"Force")-XLOOKUP("The Gnonmen",FactionState[Faction],FactionState[Force]))+MAX(0,COUNTIFS(Register[Faction],"The Gnonmen",Register[Type],"Cunning")-XLOOKUP("The Gnonmen",FactionState[Faction],FactionState[Cunning]))+MAX(0,COUNTIFS(Register[Faction],"The Gnonmen",Register[Type],"Wealth")-XLOOKUP("The Gnonmen",FactionState[Faction],FactionState[Wealth]))+MAX(0,COUNTIFS(Register[Faction],"The Gnonmen",Register[Type],"Magic")-XLOOKUP("The Gnonmen",FactionState[Faction],FactionState[Magic]))</f>
        <v/>
      </c>
      <c r="F136" s="22">
        <f>IFERROR(VALUE('Action Sheet'!I135),0)</f>
        <v/>
      </c>
      <c r="G136" s="22">
        <f>C136+D136-E136-F136</f>
        <v/>
      </c>
      <c r="H136" s="22">
        <f>'Action Sheet'!D135</f>
        <v/>
      </c>
      <c r="I136" s="22">
        <f>'Action Sheet'!E135</f>
        <v/>
      </c>
      <c r="J136" s="22">
        <f>'Action Sheet'!H135</f>
        <v/>
      </c>
      <c r="K136" s="22">
        <f>IF(H136="Attack",RANDBETWEEN(1,10),"")</f>
        <v/>
      </c>
      <c r="L136" s="22">
        <f>IF(H136="Attack", K136+IFERROR(SWITCH(XLOOKUP(I136,Catalog[Name],Catalog[AtkAttr]),"Force",XLOOKUP("The Gnonmen",FactionState[Faction],FactionState[Force]),"Cunning",XLOOKUP("The Gnonmen",FactionState[Faction],FactionState[Cunning]),"Wealth",XLOOKUP("The Gnonmen",FactionState[Faction],FactionState[Wealth]),"Magic",XLOOKUP("The Gnonmen",FactionState[Faction],FactionState[Magic]),0),0),"")</f>
        <v/>
      </c>
      <c r="M136" s="22">
        <f>IF(H136="Attack",RANDBETWEEN(1,10),"")</f>
        <v/>
      </c>
      <c r="N136" s="22">
        <f>IF(H136="Attack", M136+IFERROR(LET(def_fac, XLOOKUP(J136,Register[Asset],Register[Faction]),def_attr, XLOOKUP(I136,Catalog[Name],Catalog[DefAttr]),SWITCH(def_attr,"Force",XLOOKUP(def_fac,FactionState[Faction],FactionState[Force]),"Cunning",XLOOKUP(def_fac,FactionState[Faction],FactionState[Cunning]),"Wealth",XLOOKUP(def_fac,FactionState[Faction],FactionState[Wealth]),"Magic",XLOOKUP(def_fac,FactionState[Faction],FactionState[Magic]),0)),0),"")</f>
        <v/>
      </c>
      <c r="O136" s="22">
        <f>IF(H136&lt;&gt;"Attack","",IF(AND(ISNUMBER(L136),ISNUMBER(N136)),IF(L136&gt;N136,"Attacker","Defender"),""))</f>
        <v/>
      </c>
      <c r="P136" s="22">
        <f>IF(O136="Attacker",IFERROR(LET(nn,XLOOKUP(I136,Catalog[Name],Catalog[DmgN]),dd,XLOOKUP(I136,Catalog[Name],Catalog[DmgDie]),IF(dd=0,0,RANDBETWEEN(1,dd)+IF(nn&gt;=2,RANDBETWEEN(1,dd),0))),0),"")</f>
        <v/>
      </c>
      <c r="Q136" s="22">
        <f>IF(O136="Defender",IFERROR(LET(nn,XLOOKUP(J136,Catalog[Name],Catalog[CtrN]),dd,XLOOKUP(J136,Catalog[Name],Catalog[CtrDie]),IF(dd=0,0,RANDBETWEEN(1,dd)+IF(nn&gt;=2,RANDBETWEEN(1,dd),0))),0),"")</f>
        <v/>
      </c>
    </row>
    <row r="137">
      <c r="A137" s="20" t="n">
        <v>15</v>
      </c>
      <c r="B137" s="21" t="inlineStr">
        <is>
          <t>The Substratals</t>
        </is>
      </c>
      <c r="C137" s="22">
        <f>G128</f>
        <v/>
      </c>
      <c r="D137" s="22">
        <f>CEILING(XLOOKUP("The Substratals",FactionState[Faction],FactionState[Wealth])/2+XLOOKUP("The Substratals",FactionState[Faction],FactionState[Force])/4+XLOOKUP("The Substratals",FactionState[Faction],FactionState[Cunning])/4, 1)</f>
        <v/>
      </c>
      <c r="E137" s="22">
        <f>MAX(0,COUNTIFS(Register[Faction],"The Substratals",Register[Type],"Force")-XLOOKUP("The Substratals",FactionState[Faction],FactionState[Force]))+MAX(0,COUNTIFS(Register[Faction],"The Substratals",Register[Type],"Cunning")-XLOOKUP("The Substratals",FactionState[Faction],FactionState[Cunning]))+MAX(0,COUNTIFS(Register[Faction],"The Substratals",Register[Type],"Wealth")-XLOOKUP("The Substratals",FactionState[Faction],FactionState[Wealth]))+MAX(0,COUNTIFS(Register[Faction],"The Substratals",Register[Type],"Magic")-XLOOKUP("The Substratals",FactionState[Faction],FactionState[Magic]))</f>
        <v/>
      </c>
      <c r="F137" s="22">
        <f>IFERROR(VALUE('Action Sheet'!I136),0)</f>
        <v/>
      </c>
      <c r="G137" s="22">
        <f>C137+D137-E137-F137</f>
        <v/>
      </c>
      <c r="H137" s="22">
        <f>'Action Sheet'!D136</f>
        <v/>
      </c>
      <c r="I137" s="22">
        <f>'Action Sheet'!E136</f>
        <v/>
      </c>
      <c r="J137" s="22">
        <f>'Action Sheet'!H136</f>
        <v/>
      </c>
      <c r="K137" s="22">
        <f>IF(H137="Attack",RANDBETWEEN(1,10),"")</f>
        <v/>
      </c>
      <c r="L137" s="22">
        <f>IF(H137="Attack", K137+IFERROR(SWITCH(XLOOKUP(I137,Catalog[Name],Catalog[AtkAttr]),"Force",XLOOKUP("The Substratals",FactionState[Faction],FactionState[Force]),"Cunning",XLOOKUP("The Substratals",FactionState[Faction],FactionState[Cunning]),"Wealth",XLOOKUP("The Substratals",FactionState[Faction],FactionState[Wealth]),"Magic",XLOOKUP("The Substratals",FactionState[Faction],FactionState[Magic]),0),0),"")</f>
        <v/>
      </c>
      <c r="M137" s="22">
        <f>IF(H137="Attack",RANDBETWEEN(1,10),"")</f>
        <v/>
      </c>
      <c r="N137" s="22">
        <f>IF(H137="Attack", M137+IFERROR(LET(def_fac, XLOOKUP(J137,Register[Asset],Register[Faction]),def_attr, XLOOKUP(I137,Catalog[Name],Catalog[DefAttr]),SWITCH(def_attr,"Force",XLOOKUP(def_fac,FactionState[Faction],FactionState[Force]),"Cunning",XLOOKUP(def_fac,FactionState[Faction],FactionState[Cunning]),"Wealth",XLOOKUP(def_fac,FactionState[Faction],FactionState[Wealth]),"Magic",XLOOKUP(def_fac,FactionState[Faction],FactionState[Magic]),0)),0),"")</f>
        <v/>
      </c>
      <c r="O137" s="22">
        <f>IF(H137&lt;&gt;"Attack","",IF(AND(ISNUMBER(L137),ISNUMBER(N137)),IF(L137&gt;N137,"Attacker","Defender"),""))</f>
        <v/>
      </c>
      <c r="P137" s="22">
        <f>IF(O137="Attacker",IFERROR(LET(nn,XLOOKUP(I137,Catalog[Name],Catalog[DmgN]),dd,XLOOKUP(I137,Catalog[Name],Catalog[DmgDie]),IF(dd=0,0,RANDBETWEEN(1,dd)+IF(nn&gt;=2,RANDBETWEEN(1,dd),0))),0),"")</f>
        <v/>
      </c>
      <c r="Q137" s="22">
        <f>IF(O137="Defender",IFERROR(LET(nn,XLOOKUP(J137,Catalog[Name],Catalog[CtrN]),dd,XLOOKUP(J137,Catalog[Name],Catalog[CtrDie]),IF(dd=0,0,RANDBETWEEN(1,dd)+IF(nn&gt;=2,RANDBETWEEN(1,dd),0))),0),"")</f>
        <v/>
      </c>
    </row>
    <row r="138">
      <c r="A138" s="20" t="n">
        <v>15</v>
      </c>
      <c r="B138" s="21" t="inlineStr">
        <is>
          <t>The Deep Janeen</t>
        </is>
      </c>
      <c r="C138" s="22">
        <f>G129</f>
        <v/>
      </c>
      <c r="D138" s="22">
        <f>CEILING(XLOOKUP("The Deep Janeen",FactionState[Faction],FactionState[Wealth])/2+XLOOKUP("The Deep Janeen",FactionState[Faction],FactionState[Force])/4+XLOOKUP("The Deep Janeen",FactionState[Faction],FactionState[Cunning])/4, 1)</f>
        <v/>
      </c>
      <c r="E138" s="22">
        <f>MAX(0,COUNTIFS(Register[Faction],"The Deep Janeen",Register[Type],"Force")-XLOOKUP("The Deep Janeen",FactionState[Faction],FactionState[Force]))+MAX(0,COUNTIFS(Register[Faction],"The Deep Janeen",Register[Type],"Cunning")-XLOOKUP("The Deep Janeen",FactionState[Faction],FactionState[Cunning]))+MAX(0,COUNTIFS(Register[Faction],"The Deep Janeen",Register[Type],"Wealth")-XLOOKUP("The Deep Janeen",FactionState[Faction],FactionState[Wealth]))+MAX(0,COUNTIFS(Register[Faction],"The Deep Janeen",Register[Type],"Magic")-XLOOKUP("The Deep Janeen",FactionState[Faction],FactionState[Magic]))</f>
        <v/>
      </c>
      <c r="F138" s="22">
        <f>IFERROR(VALUE('Action Sheet'!I137),0)</f>
        <v/>
      </c>
      <c r="G138" s="22">
        <f>C138+D138-E138-F138</f>
        <v/>
      </c>
      <c r="H138" s="22">
        <f>'Action Sheet'!D137</f>
        <v/>
      </c>
      <c r="I138" s="22">
        <f>'Action Sheet'!E137</f>
        <v/>
      </c>
      <c r="J138" s="22">
        <f>'Action Sheet'!H137</f>
        <v/>
      </c>
      <c r="K138" s="22">
        <f>IF(H138="Attack",RANDBETWEEN(1,10),"")</f>
        <v/>
      </c>
      <c r="L138" s="22">
        <f>IF(H138="Attack", K138+IFERROR(SWITCH(XLOOKUP(I138,Catalog[Name],Catalog[AtkAttr]),"Force",XLOOKUP("The Deep Janeen",FactionState[Faction],FactionState[Force]),"Cunning",XLOOKUP("The Deep Janeen",FactionState[Faction],FactionState[Cunning]),"Wealth",XLOOKUP("The Deep Janeen",FactionState[Faction],FactionState[Wealth]),"Magic",XLOOKUP("The Deep Janeen",FactionState[Faction],FactionState[Magic]),0),0),"")</f>
        <v/>
      </c>
      <c r="M138" s="22">
        <f>IF(H138="Attack",RANDBETWEEN(1,10),"")</f>
        <v/>
      </c>
      <c r="N138" s="22">
        <f>IF(H138="Attack", M138+IFERROR(LET(def_fac, XLOOKUP(J138,Register[Asset],Register[Faction]),def_attr, XLOOKUP(I138,Catalog[Name],Catalog[DefAttr]),SWITCH(def_attr,"Force",XLOOKUP(def_fac,FactionState[Faction],FactionState[Force]),"Cunning",XLOOKUP(def_fac,FactionState[Faction],FactionState[Cunning]),"Wealth",XLOOKUP(def_fac,FactionState[Faction],FactionState[Wealth]),"Magic",XLOOKUP(def_fac,FactionState[Faction],FactionState[Magic]),0)),0),"")</f>
        <v/>
      </c>
      <c r="O138" s="22">
        <f>IF(H138&lt;&gt;"Attack","",IF(AND(ISNUMBER(L138),ISNUMBER(N138)),IF(L138&gt;N138,"Attacker","Defender"),""))</f>
        <v/>
      </c>
      <c r="P138" s="22">
        <f>IF(O138="Attacker",IFERROR(LET(nn,XLOOKUP(I138,Catalog[Name],Catalog[DmgN]),dd,XLOOKUP(I138,Catalog[Name],Catalog[DmgDie]),IF(dd=0,0,RANDBETWEEN(1,dd)+IF(nn&gt;=2,RANDBETWEEN(1,dd),0))),0),"")</f>
        <v/>
      </c>
      <c r="Q138" s="22">
        <f>IF(O138="Defender",IFERROR(LET(nn,XLOOKUP(J138,Catalog[Name],Catalog[CtrN]),dd,XLOOKUP(J138,Catalog[Name],Catalog[CtrDie]),IF(dd=0,0,RANDBETWEEN(1,dd)+IF(nn&gt;=2,RANDBETWEEN(1,dd),0))),0),"")</f>
        <v/>
      </c>
    </row>
    <row r="139">
      <c r="A139" s="20" t="n">
        <v>15</v>
      </c>
      <c r="B139" s="21" t="inlineStr">
        <is>
          <t>The Olm</t>
        </is>
      </c>
      <c r="C139" s="22">
        <f>G130</f>
        <v/>
      </c>
      <c r="D139" s="22">
        <f>CEILING(XLOOKUP("The Olm",FactionState[Faction],FactionState[Wealth])/2+XLOOKUP("The Olm",FactionState[Faction],FactionState[Force])/4+XLOOKUP("The Olm",FactionState[Faction],FactionState[Cunning])/4, 1)</f>
        <v/>
      </c>
      <c r="E139" s="22">
        <f>MAX(0,COUNTIFS(Register[Faction],"The Olm",Register[Type],"Force")-XLOOKUP("The Olm",FactionState[Faction],FactionState[Force]))+MAX(0,COUNTIFS(Register[Faction],"The Olm",Register[Type],"Cunning")-XLOOKUP("The Olm",FactionState[Faction],FactionState[Cunning]))+MAX(0,COUNTIFS(Register[Faction],"The Olm",Register[Type],"Wealth")-XLOOKUP("The Olm",FactionState[Faction],FactionState[Wealth]))+MAX(0,COUNTIFS(Register[Faction],"The Olm",Register[Type],"Magic")-XLOOKUP("The Olm",FactionState[Faction],FactionState[Magic]))</f>
        <v/>
      </c>
      <c r="F139" s="22">
        <f>IFERROR(VALUE('Action Sheet'!I138),0)</f>
        <v/>
      </c>
      <c r="G139" s="22">
        <f>C139+D139-E139-F139</f>
        <v/>
      </c>
      <c r="H139" s="22">
        <f>'Action Sheet'!D138</f>
        <v/>
      </c>
      <c r="I139" s="22">
        <f>'Action Sheet'!E138</f>
        <v/>
      </c>
      <c r="J139" s="22">
        <f>'Action Sheet'!H138</f>
        <v/>
      </c>
      <c r="K139" s="22">
        <f>IF(H139="Attack",RANDBETWEEN(1,10),"")</f>
        <v/>
      </c>
      <c r="L139" s="22">
        <f>IF(H139="Attack", K139+IFERROR(SWITCH(XLOOKUP(I139,Catalog[Name],Catalog[AtkAttr]),"Force",XLOOKUP("The Olm",FactionState[Faction],FactionState[Force]),"Cunning",XLOOKUP("The Olm",FactionState[Faction],FactionState[Cunning]),"Wealth",XLOOKUP("The Olm",FactionState[Faction],FactionState[Wealth]),"Magic",XLOOKUP("The Olm",FactionState[Faction],FactionState[Magic]),0),0),"")</f>
        <v/>
      </c>
      <c r="M139" s="22">
        <f>IF(H139="Attack",RANDBETWEEN(1,10),"")</f>
        <v/>
      </c>
      <c r="N139" s="22">
        <f>IF(H139="Attack", M139+IFERROR(LET(def_fac, XLOOKUP(J139,Register[Asset],Register[Faction]),def_attr, XLOOKUP(I139,Catalog[Name],Catalog[DefAttr]),SWITCH(def_attr,"Force",XLOOKUP(def_fac,FactionState[Faction],FactionState[Force]),"Cunning",XLOOKUP(def_fac,FactionState[Faction],FactionState[Cunning]),"Wealth",XLOOKUP(def_fac,FactionState[Faction],FactionState[Wealth]),"Magic",XLOOKUP(def_fac,FactionState[Faction],FactionState[Magic]),0)),0),"")</f>
        <v/>
      </c>
      <c r="O139" s="22">
        <f>IF(H139&lt;&gt;"Attack","",IF(AND(ISNUMBER(L139),ISNUMBER(N139)),IF(L139&gt;N139,"Attacker","Defender"),""))</f>
        <v/>
      </c>
      <c r="P139" s="22">
        <f>IF(O139="Attacker",IFERROR(LET(nn,XLOOKUP(I139,Catalog[Name],Catalog[DmgN]),dd,XLOOKUP(I139,Catalog[Name],Catalog[DmgDie]),IF(dd=0,0,RANDBETWEEN(1,dd)+IF(nn&gt;=2,RANDBETWEEN(1,dd),0))),0),"")</f>
        <v/>
      </c>
      <c r="Q139" s="22">
        <f>IF(O139="Defender",IFERROR(LET(nn,XLOOKUP(J139,Catalog[Name],Catalog[CtrN]),dd,XLOOKUP(J139,Catalog[Name],Catalog[CtrDie]),IF(dd=0,0,RANDBETWEEN(1,dd)+IF(nn&gt;=2,RANDBETWEEN(1,dd),0))),0),"")</f>
        <v/>
      </c>
    </row>
    <row r="140">
      <c r="A140" s="23" t="n">
        <v>16</v>
      </c>
      <c r="B140" s="24" t="inlineStr">
        <is>
          <t>The Knotsmen</t>
        </is>
      </c>
      <c r="C140" s="25">
        <f>G131</f>
        <v/>
      </c>
      <c r="D140" s="25">
        <f>CEILING(XLOOKUP("The Knotsmen",FactionState[Faction],FactionState[Wealth])/2+XLOOKUP("The Knotsmen",FactionState[Faction],FactionState[Force])/4+XLOOKUP("The Knotsmen",FactionState[Faction],FactionState[Cunning])/4, 1)</f>
        <v/>
      </c>
      <c r="E140" s="25">
        <f>MAX(0,COUNTIFS(Register[Faction],"The Knotsmen",Register[Type],"Force")-XLOOKUP("The Knotsmen",FactionState[Faction],FactionState[Force]))+MAX(0,COUNTIFS(Register[Faction],"The Knotsmen",Register[Type],"Cunning")-XLOOKUP("The Knotsmen",FactionState[Faction],FactionState[Cunning]))+MAX(0,COUNTIFS(Register[Faction],"The Knotsmen",Register[Type],"Wealth")-XLOOKUP("The Knotsmen",FactionState[Faction],FactionState[Wealth]))+MAX(0,COUNTIFS(Register[Faction],"The Knotsmen",Register[Type],"Magic")-XLOOKUP("The Knotsmen",FactionState[Faction],FactionState[Magic]))</f>
        <v/>
      </c>
      <c r="F140" s="25">
        <f>IFERROR(VALUE('Action Sheet'!I139),0)</f>
        <v/>
      </c>
      <c r="G140" s="25">
        <f>C140+D140-E140-F140</f>
        <v/>
      </c>
      <c r="H140" s="25">
        <f>'Action Sheet'!D139</f>
        <v/>
      </c>
      <c r="I140" s="25">
        <f>'Action Sheet'!E139</f>
        <v/>
      </c>
      <c r="J140" s="25">
        <f>'Action Sheet'!H139</f>
        <v/>
      </c>
      <c r="K140" s="25">
        <f>IF(H140="Attack",RANDBETWEEN(1,10),"")</f>
        <v/>
      </c>
      <c r="L140" s="25">
        <f>IF(H140="Attack", K140+IFERROR(SWITCH(XLOOKUP(I140,Catalog[Name],Catalog[AtkAttr]),"Force",XLOOKUP("The Knotsmen",FactionState[Faction],FactionState[Force]),"Cunning",XLOOKUP("The Knotsmen",FactionState[Faction],FactionState[Cunning]),"Wealth",XLOOKUP("The Knotsmen",FactionState[Faction],FactionState[Wealth]),"Magic",XLOOKUP("The Knotsmen",FactionState[Faction],FactionState[Magic]),0),0),"")</f>
        <v/>
      </c>
      <c r="M140" s="25">
        <f>IF(H140="Attack",RANDBETWEEN(1,10),"")</f>
        <v/>
      </c>
      <c r="N140" s="25">
        <f>IF(H140="Attack", M140+IFERROR(LET(def_fac, XLOOKUP(J140,Register[Asset],Register[Faction]),def_attr, XLOOKUP(I140,Catalog[Name],Catalog[DefAttr]),SWITCH(def_attr,"Force",XLOOKUP(def_fac,FactionState[Faction],FactionState[Force]),"Cunning",XLOOKUP(def_fac,FactionState[Faction],FactionState[Cunning]),"Wealth",XLOOKUP(def_fac,FactionState[Faction],FactionState[Wealth]),"Magic",XLOOKUP(def_fac,FactionState[Faction],FactionState[Magic]),0)),0),"")</f>
        <v/>
      </c>
      <c r="O140" s="25">
        <f>IF(H140&lt;&gt;"Attack","",IF(AND(ISNUMBER(L140),ISNUMBER(N140)),IF(L140&gt;N140,"Attacker","Defender"),""))</f>
        <v/>
      </c>
      <c r="P140" s="25">
        <f>IF(O140="Attacker",IFERROR(LET(nn,XLOOKUP(I140,Catalog[Name],Catalog[DmgN]),dd,XLOOKUP(I140,Catalog[Name],Catalog[DmgDie]),IF(dd=0,0,RANDBETWEEN(1,dd)+IF(nn&gt;=2,RANDBETWEEN(1,dd),0))),0),"")</f>
        <v/>
      </c>
      <c r="Q140" s="25">
        <f>IF(O140="Defender",IFERROR(LET(nn,XLOOKUP(J140,Catalog[Name],Catalog[CtrN]),dd,XLOOKUP(J140,Catalog[Name],Catalog[CtrDie]),IF(dd=0,0,RANDBETWEEN(1,dd)+IF(nn&gt;=2,RANDBETWEEN(1,dd),0))),0),"")</f>
        <v/>
      </c>
    </row>
    <row r="141">
      <c r="A141" s="23" t="n">
        <v>16</v>
      </c>
      <c r="B141" s="24" t="inlineStr">
        <is>
          <t>The Aelf-Adal</t>
        </is>
      </c>
      <c r="C141" s="25">
        <f>G132</f>
        <v/>
      </c>
      <c r="D141" s="25">
        <f>CEILING(XLOOKUP("The Aelf-Adal",FactionState[Faction],FactionState[Wealth])/2+XLOOKUP("The Aelf-Adal",FactionState[Faction],FactionState[Force])/4+XLOOKUP("The Aelf-Adal",FactionState[Faction],FactionState[Cunning])/4, 1)</f>
        <v/>
      </c>
      <c r="E141" s="25">
        <f>MAX(0,COUNTIFS(Register[Faction],"The Aelf-Adal",Register[Type],"Force")-XLOOKUP("The Aelf-Adal",FactionState[Faction],FactionState[Force]))+MAX(0,COUNTIFS(Register[Faction],"The Aelf-Adal",Register[Type],"Cunning")-XLOOKUP("The Aelf-Adal",FactionState[Faction],FactionState[Cunning]))+MAX(0,COUNTIFS(Register[Faction],"The Aelf-Adal",Register[Type],"Wealth")-XLOOKUP("The Aelf-Adal",FactionState[Faction],FactionState[Wealth]))+MAX(0,COUNTIFS(Register[Faction],"The Aelf-Adal",Register[Type],"Magic")-XLOOKUP("The Aelf-Adal",FactionState[Faction],FactionState[Magic]))</f>
        <v/>
      </c>
      <c r="F141" s="25">
        <f>IFERROR(VALUE('Action Sheet'!I140),0)</f>
        <v/>
      </c>
      <c r="G141" s="25">
        <f>C141+D141-E141-F141</f>
        <v/>
      </c>
      <c r="H141" s="25">
        <f>'Action Sheet'!D140</f>
        <v/>
      </c>
      <c r="I141" s="25">
        <f>'Action Sheet'!E140</f>
        <v/>
      </c>
      <c r="J141" s="25">
        <f>'Action Sheet'!H140</f>
        <v/>
      </c>
      <c r="K141" s="25">
        <f>IF(H141="Attack",RANDBETWEEN(1,10),"")</f>
        <v/>
      </c>
      <c r="L141" s="25">
        <f>IF(H141="Attack", K141+IFERROR(SWITCH(XLOOKUP(I141,Catalog[Name],Catalog[AtkAttr]),"Force",XLOOKUP("The Aelf-Adal",FactionState[Faction],FactionState[Force]),"Cunning",XLOOKUP("The Aelf-Adal",FactionState[Faction],FactionState[Cunning]),"Wealth",XLOOKUP("The Aelf-Adal",FactionState[Faction],FactionState[Wealth]),"Magic",XLOOKUP("The Aelf-Adal",FactionState[Faction],FactionState[Magic]),0),0),"")</f>
        <v/>
      </c>
      <c r="M141" s="25">
        <f>IF(H141="Attack",RANDBETWEEN(1,10),"")</f>
        <v/>
      </c>
      <c r="N141" s="25">
        <f>IF(H141="Attack", M141+IFERROR(LET(def_fac, XLOOKUP(J141,Register[Asset],Register[Faction]),def_attr, XLOOKUP(I141,Catalog[Name],Catalog[DefAttr]),SWITCH(def_attr,"Force",XLOOKUP(def_fac,FactionState[Faction],FactionState[Force]),"Cunning",XLOOKUP(def_fac,FactionState[Faction],FactionState[Cunning]),"Wealth",XLOOKUP(def_fac,FactionState[Faction],FactionState[Wealth]),"Magic",XLOOKUP(def_fac,FactionState[Faction],FactionState[Magic]),0)),0),"")</f>
        <v/>
      </c>
      <c r="O141" s="25">
        <f>IF(H141&lt;&gt;"Attack","",IF(AND(ISNUMBER(L141),ISNUMBER(N141)),IF(L141&gt;N141,"Attacker","Defender"),""))</f>
        <v/>
      </c>
      <c r="P141" s="25">
        <f>IF(O141="Attacker",IFERROR(LET(nn,XLOOKUP(I141,Catalog[Name],Catalog[DmgN]),dd,XLOOKUP(I141,Catalog[Name],Catalog[DmgDie]),IF(dd=0,0,RANDBETWEEN(1,dd)+IF(nn&gt;=2,RANDBETWEEN(1,dd),0))),0),"")</f>
        <v/>
      </c>
      <c r="Q141" s="25">
        <f>IF(O141="Defender",IFERROR(LET(nn,XLOOKUP(J141,Catalog[Name],Catalog[CtrN]),dd,XLOOKUP(J141,Catalog[Name],Catalog[CtrDie]),IF(dd=0,0,RANDBETWEEN(1,dd)+IF(nn&gt;=2,RANDBETWEEN(1,dd),0))),0),"")</f>
        <v/>
      </c>
    </row>
    <row r="142">
      <c r="A142" s="23" t="n">
        <v>16</v>
      </c>
      <c r="B142" s="24" t="inlineStr">
        <is>
          <t>The Funginids</t>
        </is>
      </c>
      <c r="C142" s="25">
        <f>G133</f>
        <v/>
      </c>
      <c r="D142" s="25">
        <f>CEILING(XLOOKUP("The Funginids",FactionState[Faction],FactionState[Wealth])/2+XLOOKUP("The Funginids",FactionState[Faction],FactionState[Force])/4+XLOOKUP("The Funginids",FactionState[Faction],FactionState[Cunning])/4, 1)</f>
        <v/>
      </c>
      <c r="E142" s="25">
        <f>MAX(0,COUNTIFS(Register[Faction],"The Funginids",Register[Type],"Force")-XLOOKUP("The Funginids",FactionState[Faction],FactionState[Force]))+MAX(0,COUNTIFS(Register[Faction],"The Funginids",Register[Type],"Cunning")-XLOOKUP("The Funginids",FactionState[Faction],FactionState[Cunning]))+MAX(0,COUNTIFS(Register[Faction],"The Funginids",Register[Type],"Wealth")-XLOOKUP("The Funginids",FactionState[Faction],FactionState[Wealth]))+MAX(0,COUNTIFS(Register[Faction],"The Funginids",Register[Type],"Magic")-XLOOKUP("The Funginids",FactionState[Faction],FactionState[Magic]))</f>
        <v/>
      </c>
      <c r="F142" s="25">
        <f>IFERROR(VALUE('Action Sheet'!I141),0)</f>
        <v/>
      </c>
      <c r="G142" s="25">
        <f>C142+D142-E142-F142</f>
        <v/>
      </c>
      <c r="H142" s="25">
        <f>'Action Sheet'!D141</f>
        <v/>
      </c>
      <c r="I142" s="25">
        <f>'Action Sheet'!E141</f>
        <v/>
      </c>
      <c r="J142" s="25">
        <f>'Action Sheet'!H141</f>
        <v/>
      </c>
      <c r="K142" s="25">
        <f>IF(H142="Attack",RANDBETWEEN(1,10),"")</f>
        <v/>
      </c>
      <c r="L142" s="25">
        <f>IF(H142="Attack", K142+IFERROR(SWITCH(XLOOKUP(I142,Catalog[Name],Catalog[AtkAttr]),"Force",XLOOKUP("The Funginids",FactionState[Faction],FactionState[Force]),"Cunning",XLOOKUP("The Funginids",FactionState[Faction],FactionState[Cunning]),"Wealth",XLOOKUP("The Funginids",FactionState[Faction],FactionState[Wealth]),"Magic",XLOOKUP("The Funginids",FactionState[Faction],FactionState[Magic]),0),0),"")</f>
        <v/>
      </c>
      <c r="M142" s="25">
        <f>IF(H142="Attack",RANDBETWEEN(1,10),"")</f>
        <v/>
      </c>
      <c r="N142" s="25">
        <f>IF(H142="Attack", M142+IFERROR(LET(def_fac, XLOOKUP(J142,Register[Asset],Register[Faction]),def_attr, XLOOKUP(I142,Catalog[Name],Catalog[DefAttr]),SWITCH(def_attr,"Force",XLOOKUP(def_fac,FactionState[Faction],FactionState[Force]),"Cunning",XLOOKUP(def_fac,FactionState[Faction],FactionState[Cunning]),"Wealth",XLOOKUP(def_fac,FactionState[Faction],FactionState[Wealth]),"Magic",XLOOKUP(def_fac,FactionState[Faction],FactionState[Magic]),0)),0),"")</f>
        <v/>
      </c>
      <c r="O142" s="25">
        <f>IF(H142&lt;&gt;"Attack","",IF(AND(ISNUMBER(L142),ISNUMBER(N142)),IF(L142&gt;N142,"Attacker","Defender"),""))</f>
        <v/>
      </c>
      <c r="P142" s="25">
        <f>IF(O142="Attacker",IFERROR(LET(nn,XLOOKUP(I142,Catalog[Name],Catalog[DmgN]),dd,XLOOKUP(I142,Catalog[Name],Catalog[DmgDie]),IF(dd=0,0,RANDBETWEEN(1,dd)+IF(nn&gt;=2,RANDBETWEEN(1,dd),0))),0),"")</f>
        <v/>
      </c>
      <c r="Q142" s="25">
        <f>IF(O142="Defender",IFERROR(LET(nn,XLOOKUP(J142,Catalog[Name],Catalog[CtrN]),dd,XLOOKUP(J142,Catalog[Name],Catalog[CtrDie]),IF(dd=0,0,RANDBETWEEN(1,dd)+IF(nn&gt;=2,RANDBETWEEN(1,dd),0))),0),"")</f>
        <v/>
      </c>
    </row>
    <row r="143">
      <c r="A143" s="23" t="n">
        <v>16</v>
      </c>
      <c r="B143" s="24" t="inlineStr">
        <is>
          <t>The dErO</t>
        </is>
      </c>
      <c r="C143" s="25">
        <f>G134</f>
        <v/>
      </c>
      <c r="D143" s="25">
        <f>CEILING(XLOOKUP("The dErO",FactionState[Faction],FactionState[Wealth])/2+XLOOKUP("The dErO",FactionState[Faction],FactionState[Force])/4+XLOOKUP("The dErO",FactionState[Faction],FactionState[Cunning])/4, 1)</f>
        <v/>
      </c>
      <c r="E143" s="25">
        <f>MAX(0,COUNTIFS(Register[Faction],"The dErO",Register[Type],"Force")-XLOOKUP("The dErO",FactionState[Faction],FactionState[Force]))+MAX(0,COUNTIFS(Register[Faction],"The dErO",Register[Type],"Cunning")-XLOOKUP("The dErO",FactionState[Faction],FactionState[Cunning]))+MAX(0,COUNTIFS(Register[Faction],"The dErO",Register[Type],"Wealth")-XLOOKUP("The dErO",FactionState[Faction],FactionState[Wealth]))+MAX(0,COUNTIFS(Register[Faction],"The dErO",Register[Type],"Magic")-XLOOKUP("The dErO",FactionState[Faction],FactionState[Magic]))</f>
        <v/>
      </c>
      <c r="F143" s="25">
        <f>IFERROR(VALUE('Action Sheet'!I142),0)</f>
        <v/>
      </c>
      <c r="G143" s="25">
        <f>C143+D143-E143-F143</f>
        <v/>
      </c>
      <c r="H143" s="25">
        <f>'Action Sheet'!D142</f>
        <v/>
      </c>
      <c r="I143" s="25">
        <f>'Action Sheet'!E142</f>
        <v/>
      </c>
      <c r="J143" s="25">
        <f>'Action Sheet'!H142</f>
        <v/>
      </c>
      <c r="K143" s="25">
        <f>IF(H143="Attack",RANDBETWEEN(1,10),"")</f>
        <v/>
      </c>
      <c r="L143" s="25">
        <f>IF(H143="Attack", K143+IFERROR(SWITCH(XLOOKUP(I143,Catalog[Name],Catalog[AtkAttr]),"Force",XLOOKUP("The dErO",FactionState[Faction],FactionState[Force]),"Cunning",XLOOKUP("The dErO",FactionState[Faction],FactionState[Cunning]),"Wealth",XLOOKUP("The dErO",FactionState[Faction],FactionState[Wealth]),"Magic",XLOOKUP("The dErO",FactionState[Faction],FactionState[Magic]),0),0),"")</f>
        <v/>
      </c>
      <c r="M143" s="25">
        <f>IF(H143="Attack",RANDBETWEEN(1,10),"")</f>
        <v/>
      </c>
      <c r="N143" s="25">
        <f>IF(H143="Attack", M143+IFERROR(LET(def_fac, XLOOKUP(J143,Register[Asset],Register[Faction]),def_attr, XLOOKUP(I143,Catalog[Name],Catalog[DefAttr]),SWITCH(def_attr,"Force",XLOOKUP(def_fac,FactionState[Faction],FactionState[Force]),"Cunning",XLOOKUP(def_fac,FactionState[Faction],FactionState[Cunning]),"Wealth",XLOOKUP(def_fac,FactionState[Faction],FactionState[Wealth]),"Magic",XLOOKUP(def_fac,FactionState[Faction],FactionState[Magic]),0)),0),"")</f>
        <v/>
      </c>
      <c r="O143" s="25">
        <f>IF(H143&lt;&gt;"Attack","",IF(AND(ISNUMBER(L143),ISNUMBER(N143)),IF(L143&gt;N143,"Attacker","Defender"),""))</f>
        <v/>
      </c>
      <c r="P143" s="25">
        <f>IF(O143="Attacker",IFERROR(LET(nn,XLOOKUP(I143,Catalog[Name],Catalog[DmgN]),dd,XLOOKUP(I143,Catalog[Name],Catalog[DmgDie]),IF(dd=0,0,RANDBETWEEN(1,dd)+IF(nn&gt;=2,RANDBETWEEN(1,dd),0))),0),"")</f>
        <v/>
      </c>
      <c r="Q143" s="25">
        <f>IF(O143="Defender",IFERROR(LET(nn,XLOOKUP(J143,Catalog[Name],Catalog[CtrN]),dd,XLOOKUP(J143,Catalog[Name],Catalog[CtrDie]),IF(dd=0,0,RANDBETWEEN(1,dd)+IF(nn&gt;=2,RANDBETWEEN(1,dd),0))),0),"")</f>
        <v/>
      </c>
    </row>
    <row r="144">
      <c r="A144" s="23" t="n">
        <v>16</v>
      </c>
      <c r="B144" s="24" t="inlineStr">
        <is>
          <t>The Dvargir</t>
        </is>
      </c>
      <c r="C144" s="25">
        <f>G135</f>
        <v/>
      </c>
      <c r="D144" s="25">
        <f>CEILING(XLOOKUP("The Dvargir",FactionState[Faction],FactionState[Wealth])/2+XLOOKUP("The Dvargir",FactionState[Faction],FactionState[Force])/4+XLOOKUP("The Dvargir",FactionState[Faction],FactionState[Cunning])/4, 1)</f>
        <v/>
      </c>
      <c r="E144" s="25">
        <f>MAX(0,COUNTIFS(Register[Faction],"The Dvargir",Register[Type],"Force")-XLOOKUP("The Dvargir",FactionState[Faction],FactionState[Force]))+MAX(0,COUNTIFS(Register[Faction],"The Dvargir",Register[Type],"Cunning")-XLOOKUP("The Dvargir",FactionState[Faction],FactionState[Cunning]))+MAX(0,COUNTIFS(Register[Faction],"The Dvargir",Register[Type],"Wealth")-XLOOKUP("The Dvargir",FactionState[Faction],FactionState[Wealth]))+MAX(0,COUNTIFS(Register[Faction],"The Dvargir",Register[Type],"Magic")-XLOOKUP("The Dvargir",FactionState[Faction],FactionState[Magic]))</f>
        <v/>
      </c>
      <c r="F144" s="25">
        <f>IFERROR(VALUE('Action Sheet'!I143),0)</f>
        <v/>
      </c>
      <c r="G144" s="25">
        <f>C144+D144-E144-F144</f>
        <v/>
      </c>
      <c r="H144" s="25">
        <f>'Action Sheet'!D143</f>
        <v/>
      </c>
      <c r="I144" s="25">
        <f>'Action Sheet'!E143</f>
        <v/>
      </c>
      <c r="J144" s="25">
        <f>'Action Sheet'!H143</f>
        <v/>
      </c>
      <c r="K144" s="25">
        <f>IF(H144="Attack",RANDBETWEEN(1,10),"")</f>
        <v/>
      </c>
      <c r="L144" s="25">
        <f>IF(H144="Attack", K144+IFERROR(SWITCH(XLOOKUP(I144,Catalog[Name],Catalog[AtkAttr]),"Force",XLOOKUP("The Dvargir",FactionState[Faction],FactionState[Force]),"Cunning",XLOOKUP("The Dvargir",FactionState[Faction],FactionState[Cunning]),"Wealth",XLOOKUP("The Dvargir",FactionState[Faction],FactionState[Wealth]),"Magic",XLOOKUP("The Dvargir",FactionState[Faction],FactionState[Magic]),0),0),"")</f>
        <v/>
      </c>
      <c r="M144" s="25">
        <f>IF(H144="Attack",RANDBETWEEN(1,10),"")</f>
        <v/>
      </c>
      <c r="N144" s="25">
        <f>IF(H144="Attack", M144+IFERROR(LET(def_fac, XLOOKUP(J144,Register[Asset],Register[Faction]),def_attr, XLOOKUP(I144,Catalog[Name],Catalog[DefAttr]),SWITCH(def_attr,"Force",XLOOKUP(def_fac,FactionState[Faction],FactionState[Force]),"Cunning",XLOOKUP(def_fac,FactionState[Faction],FactionState[Cunning]),"Wealth",XLOOKUP(def_fac,FactionState[Faction],FactionState[Wealth]),"Magic",XLOOKUP(def_fac,FactionState[Faction],FactionState[Magic]),0)),0),"")</f>
        <v/>
      </c>
      <c r="O144" s="25">
        <f>IF(H144&lt;&gt;"Attack","",IF(AND(ISNUMBER(L144),ISNUMBER(N144)),IF(L144&gt;N144,"Attacker","Defender"),""))</f>
        <v/>
      </c>
      <c r="P144" s="25">
        <f>IF(O144="Attacker",IFERROR(LET(nn,XLOOKUP(I144,Catalog[Name],Catalog[DmgN]),dd,XLOOKUP(I144,Catalog[Name],Catalog[DmgDie]),IF(dd=0,0,RANDBETWEEN(1,dd)+IF(nn&gt;=2,RANDBETWEEN(1,dd),0))),0),"")</f>
        <v/>
      </c>
      <c r="Q144" s="25">
        <f>IF(O144="Defender",IFERROR(LET(nn,XLOOKUP(J144,Catalog[Name],Catalog[CtrN]),dd,XLOOKUP(J144,Catalog[Name],Catalog[CtrDie]),IF(dd=0,0,RANDBETWEEN(1,dd)+IF(nn&gt;=2,RANDBETWEEN(1,dd),0))),0),"")</f>
        <v/>
      </c>
    </row>
    <row r="145">
      <c r="A145" s="23" t="n">
        <v>16</v>
      </c>
      <c r="B145" s="24" t="inlineStr">
        <is>
          <t>The Gnonmen</t>
        </is>
      </c>
      <c r="C145" s="25">
        <f>G136</f>
        <v/>
      </c>
      <c r="D145" s="25">
        <f>CEILING(XLOOKUP("The Gnonmen",FactionState[Faction],FactionState[Wealth])/2+XLOOKUP("The Gnonmen",FactionState[Faction],FactionState[Force])/4+XLOOKUP("The Gnonmen",FactionState[Faction],FactionState[Cunning])/4, 1)</f>
        <v/>
      </c>
      <c r="E145" s="25">
        <f>MAX(0,COUNTIFS(Register[Faction],"The Gnonmen",Register[Type],"Force")-XLOOKUP("The Gnonmen",FactionState[Faction],FactionState[Force]))+MAX(0,COUNTIFS(Register[Faction],"The Gnonmen",Register[Type],"Cunning")-XLOOKUP("The Gnonmen",FactionState[Faction],FactionState[Cunning]))+MAX(0,COUNTIFS(Register[Faction],"The Gnonmen",Register[Type],"Wealth")-XLOOKUP("The Gnonmen",FactionState[Faction],FactionState[Wealth]))+MAX(0,COUNTIFS(Register[Faction],"The Gnonmen",Register[Type],"Magic")-XLOOKUP("The Gnonmen",FactionState[Faction],FactionState[Magic]))</f>
        <v/>
      </c>
      <c r="F145" s="25">
        <f>IFERROR(VALUE('Action Sheet'!I144),0)</f>
        <v/>
      </c>
      <c r="G145" s="25">
        <f>C145+D145-E145-F145</f>
        <v/>
      </c>
      <c r="H145" s="25">
        <f>'Action Sheet'!D144</f>
        <v/>
      </c>
      <c r="I145" s="25">
        <f>'Action Sheet'!E144</f>
        <v/>
      </c>
      <c r="J145" s="25">
        <f>'Action Sheet'!H144</f>
        <v/>
      </c>
      <c r="K145" s="25">
        <f>IF(H145="Attack",RANDBETWEEN(1,10),"")</f>
        <v/>
      </c>
      <c r="L145" s="25">
        <f>IF(H145="Attack", K145+IFERROR(SWITCH(XLOOKUP(I145,Catalog[Name],Catalog[AtkAttr]),"Force",XLOOKUP("The Gnonmen",FactionState[Faction],FactionState[Force]),"Cunning",XLOOKUP("The Gnonmen",FactionState[Faction],FactionState[Cunning]),"Wealth",XLOOKUP("The Gnonmen",FactionState[Faction],FactionState[Wealth]),"Magic",XLOOKUP("The Gnonmen",FactionState[Faction],FactionState[Magic]),0),0),"")</f>
        <v/>
      </c>
      <c r="M145" s="25">
        <f>IF(H145="Attack",RANDBETWEEN(1,10),"")</f>
        <v/>
      </c>
      <c r="N145" s="25">
        <f>IF(H145="Attack", M145+IFERROR(LET(def_fac, XLOOKUP(J145,Register[Asset],Register[Faction]),def_attr, XLOOKUP(I145,Catalog[Name],Catalog[DefAttr]),SWITCH(def_attr,"Force",XLOOKUP(def_fac,FactionState[Faction],FactionState[Force]),"Cunning",XLOOKUP(def_fac,FactionState[Faction],FactionState[Cunning]),"Wealth",XLOOKUP(def_fac,FactionState[Faction],FactionState[Wealth]),"Magic",XLOOKUP(def_fac,FactionState[Faction],FactionState[Magic]),0)),0),"")</f>
        <v/>
      </c>
      <c r="O145" s="25">
        <f>IF(H145&lt;&gt;"Attack","",IF(AND(ISNUMBER(L145),ISNUMBER(N145)),IF(L145&gt;N145,"Attacker","Defender"),""))</f>
        <v/>
      </c>
      <c r="P145" s="25">
        <f>IF(O145="Attacker",IFERROR(LET(nn,XLOOKUP(I145,Catalog[Name],Catalog[DmgN]),dd,XLOOKUP(I145,Catalog[Name],Catalog[DmgDie]),IF(dd=0,0,RANDBETWEEN(1,dd)+IF(nn&gt;=2,RANDBETWEEN(1,dd),0))),0),"")</f>
        <v/>
      </c>
      <c r="Q145" s="25">
        <f>IF(O145="Defender",IFERROR(LET(nn,XLOOKUP(J145,Catalog[Name],Catalog[CtrN]),dd,XLOOKUP(J145,Catalog[Name],Catalog[CtrDie]),IF(dd=0,0,RANDBETWEEN(1,dd)+IF(nn&gt;=2,RANDBETWEEN(1,dd),0))),0),"")</f>
        <v/>
      </c>
    </row>
    <row r="146">
      <c r="A146" s="23" t="n">
        <v>16</v>
      </c>
      <c r="B146" s="24" t="inlineStr">
        <is>
          <t>The Substratals</t>
        </is>
      </c>
      <c r="C146" s="25">
        <f>G137</f>
        <v/>
      </c>
      <c r="D146" s="25">
        <f>CEILING(XLOOKUP("The Substratals",FactionState[Faction],FactionState[Wealth])/2+XLOOKUP("The Substratals",FactionState[Faction],FactionState[Force])/4+XLOOKUP("The Substratals",FactionState[Faction],FactionState[Cunning])/4, 1)</f>
        <v/>
      </c>
      <c r="E146" s="25">
        <f>MAX(0,COUNTIFS(Register[Faction],"The Substratals",Register[Type],"Force")-XLOOKUP("The Substratals",FactionState[Faction],FactionState[Force]))+MAX(0,COUNTIFS(Register[Faction],"The Substratals",Register[Type],"Cunning")-XLOOKUP("The Substratals",FactionState[Faction],FactionState[Cunning]))+MAX(0,COUNTIFS(Register[Faction],"The Substratals",Register[Type],"Wealth")-XLOOKUP("The Substratals",FactionState[Faction],FactionState[Wealth]))+MAX(0,COUNTIFS(Register[Faction],"The Substratals",Register[Type],"Magic")-XLOOKUP("The Substratals",FactionState[Faction],FactionState[Magic]))</f>
        <v/>
      </c>
      <c r="F146" s="25">
        <f>IFERROR(VALUE('Action Sheet'!I145),0)</f>
        <v/>
      </c>
      <c r="G146" s="25">
        <f>C146+D146-E146-F146</f>
        <v/>
      </c>
      <c r="H146" s="25">
        <f>'Action Sheet'!D145</f>
        <v/>
      </c>
      <c r="I146" s="25">
        <f>'Action Sheet'!E145</f>
        <v/>
      </c>
      <c r="J146" s="25">
        <f>'Action Sheet'!H145</f>
        <v/>
      </c>
      <c r="K146" s="25">
        <f>IF(H146="Attack",RANDBETWEEN(1,10),"")</f>
        <v/>
      </c>
      <c r="L146" s="25">
        <f>IF(H146="Attack", K146+IFERROR(SWITCH(XLOOKUP(I146,Catalog[Name],Catalog[AtkAttr]),"Force",XLOOKUP("The Substratals",FactionState[Faction],FactionState[Force]),"Cunning",XLOOKUP("The Substratals",FactionState[Faction],FactionState[Cunning]),"Wealth",XLOOKUP("The Substratals",FactionState[Faction],FactionState[Wealth]),"Magic",XLOOKUP("The Substratals",FactionState[Faction],FactionState[Magic]),0),0),"")</f>
        <v/>
      </c>
      <c r="M146" s="25">
        <f>IF(H146="Attack",RANDBETWEEN(1,10),"")</f>
        <v/>
      </c>
      <c r="N146" s="25">
        <f>IF(H146="Attack", M146+IFERROR(LET(def_fac, XLOOKUP(J146,Register[Asset],Register[Faction]),def_attr, XLOOKUP(I146,Catalog[Name],Catalog[DefAttr]),SWITCH(def_attr,"Force",XLOOKUP(def_fac,FactionState[Faction],FactionState[Force]),"Cunning",XLOOKUP(def_fac,FactionState[Faction],FactionState[Cunning]),"Wealth",XLOOKUP(def_fac,FactionState[Faction],FactionState[Wealth]),"Magic",XLOOKUP(def_fac,FactionState[Faction],FactionState[Magic]),0)),0),"")</f>
        <v/>
      </c>
      <c r="O146" s="25">
        <f>IF(H146&lt;&gt;"Attack","",IF(AND(ISNUMBER(L146),ISNUMBER(N146)),IF(L146&gt;N146,"Attacker","Defender"),""))</f>
        <v/>
      </c>
      <c r="P146" s="25">
        <f>IF(O146="Attacker",IFERROR(LET(nn,XLOOKUP(I146,Catalog[Name],Catalog[DmgN]),dd,XLOOKUP(I146,Catalog[Name],Catalog[DmgDie]),IF(dd=0,0,RANDBETWEEN(1,dd)+IF(nn&gt;=2,RANDBETWEEN(1,dd),0))),0),"")</f>
        <v/>
      </c>
      <c r="Q146" s="25">
        <f>IF(O146="Defender",IFERROR(LET(nn,XLOOKUP(J146,Catalog[Name],Catalog[CtrN]),dd,XLOOKUP(J146,Catalog[Name],Catalog[CtrDie]),IF(dd=0,0,RANDBETWEEN(1,dd)+IF(nn&gt;=2,RANDBETWEEN(1,dd),0))),0),"")</f>
        <v/>
      </c>
    </row>
    <row r="147">
      <c r="A147" s="23" t="n">
        <v>16</v>
      </c>
      <c r="B147" s="24" t="inlineStr">
        <is>
          <t>The Deep Janeen</t>
        </is>
      </c>
      <c r="C147" s="25">
        <f>G138</f>
        <v/>
      </c>
      <c r="D147" s="25">
        <f>CEILING(XLOOKUP("The Deep Janeen",FactionState[Faction],FactionState[Wealth])/2+XLOOKUP("The Deep Janeen",FactionState[Faction],FactionState[Force])/4+XLOOKUP("The Deep Janeen",FactionState[Faction],FactionState[Cunning])/4, 1)</f>
        <v/>
      </c>
      <c r="E147" s="25">
        <f>MAX(0,COUNTIFS(Register[Faction],"The Deep Janeen",Register[Type],"Force")-XLOOKUP("The Deep Janeen",FactionState[Faction],FactionState[Force]))+MAX(0,COUNTIFS(Register[Faction],"The Deep Janeen",Register[Type],"Cunning")-XLOOKUP("The Deep Janeen",FactionState[Faction],FactionState[Cunning]))+MAX(0,COUNTIFS(Register[Faction],"The Deep Janeen",Register[Type],"Wealth")-XLOOKUP("The Deep Janeen",FactionState[Faction],FactionState[Wealth]))+MAX(0,COUNTIFS(Register[Faction],"The Deep Janeen",Register[Type],"Magic")-XLOOKUP("The Deep Janeen",FactionState[Faction],FactionState[Magic]))</f>
        <v/>
      </c>
      <c r="F147" s="25">
        <f>IFERROR(VALUE('Action Sheet'!I146),0)</f>
        <v/>
      </c>
      <c r="G147" s="25">
        <f>C147+D147-E147-F147</f>
        <v/>
      </c>
      <c r="H147" s="25">
        <f>'Action Sheet'!D146</f>
        <v/>
      </c>
      <c r="I147" s="25">
        <f>'Action Sheet'!E146</f>
        <v/>
      </c>
      <c r="J147" s="25">
        <f>'Action Sheet'!H146</f>
        <v/>
      </c>
      <c r="K147" s="25">
        <f>IF(H147="Attack",RANDBETWEEN(1,10),"")</f>
        <v/>
      </c>
      <c r="L147" s="25">
        <f>IF(H147="Attack", K147+IFERROR(SWITCH(XLOOKUP(I147,Catalog[Name],Catalog[AtkAttr]),"Force",XLOOKUP("The Deep Janeen",FactionState[Faction],FactionState[Force]),"Cunning",XLOOKUP("The Deep Janeen",FactionState[Faction],FactionState[Cunning]),"Wealth",XLOOKUP("The Deep Janeen",FactionState[Faction],FactionState[Wealth]),"Magic",XLOOKUP("The Deep Janeen",FactionState[Faction],FactionState[Magic]),0),0),"")</f>
        <v/>
      </c>
      <c r="M147" s="25">
        <f>IF(H147="Attack",RANDBETWEEN(1,10),"")</f>
        <v/>
      </c>
      <c r="N147" s="25">
        <f>IF(H147="Attack", M147+IFERROR(LET(def_fac, XLOOKUP(J147,Register[Asset],Register[Faction]),def_attr, XLOOKUP(I147,Catalog[Name],Catalog[DefAttr]),SWITCH(def_attr,"Force",XLOOKUP(def_fac,FactionState[Faction],FactionState[Force]),"Cunning",XLOOKUP(def_fac,FactionState[Faction],FactionState[Cunning]),"Wealth",XLOOKUP(def_fac,FactionState[Faction],FactionState[Wealth]),"Magic",XLOOKUP(def_fac,FactionState[Faction],FactionState[Magic]),0)),0),"")</f>
        <v/>
      </c>
      <c r="O147" s="25">
        <f>IF(H147&lt;&gt;"Attack","",IF(AND(ISNUMBER(L147),ISNUMBER(N147)),IF(L147&gt;N147,"Attacker","Defender"),""))</f>
        <v/>
      </c>
      <c r="P147" s="25">
        <f>IF(O147="Attacker",IFERROR(LET(nn,XLOOKUP(I147,Catalog[Name],Catalog[DmgN]),dd,XLOOKUP(I147,Catalog[Name],Catalog[DmgDie]),IF(dd=0,0,RANDBETWEEN(1,dd)+IF(nn&gt;=2,RANDBETWEEN(1,dd),0))),0),"")</f>
        <v/>
      </c>
      <c r="Q147" s="25">
        <f>IF(O147="Defender",IFERROR(LET(nn,XLOOKUP(J147,Catalog[Name],Catalog[CtrN]),dd,XLOOKUP(J147,Catalog[Name],Catalog[CtrDie]),IF(dd=0,0,RANDBETWEEN(1,dd)+IF(nn&gt;=2,RANDBETWEEN(1,dd),0))),0),"")</f>
        <v/>
      </c>
    </row>
    <row r="148">
      <c r="A148" s="23" t="n">
        <v>16</v>
      </c>
      <c r="B148" s="24" t="inlineStr">
        <is>
          <t>The Olm</t>
        </is>
      </c>
      <c r="C148" s="25">
        <f>G139</f>
        <v/>
      </c>
      <c r="D148" s="25">
        <f>CEILING(XLOOKUP("The Olm",FactionState[Faction],FactionState[Wealth])/2+XLOOKUP("The Olm",FactionState[Faction],FactionState[Force])/4+XLOOKUP("The Olm",FactionState[Faction],FactionState[Cunning])/4, 1)</f>
        <v/>
      </c>
      <c r="E148" s="25">
        <f>MAX(0,COUNTIFS(Register[Faction],"The Olm",Register[Type],"Force")-XLOOKUP("The Olm",FactionState[Faction],FactionState[Force]))+MAX(0,COUNTIFS(Register[Faction],"The Olm",Register[Type],"Cunning")-XLOOKUP("The Olm",FactionState[Faction],FactionState[Cunning]))+MAX(0,COUNTIFS(Register[Faction],"The Olm",Register[Type],"Wealth")-XLOOKUP("The Olm",FactionState[Faction],FactionState[Wealth]))+MAX(0,COUNTIFS(Register[Faction],"The Olm",Register[Type],"Magic")-XLOOKUP("The Olm",FactionState[Faction],FactionState[Magic]))</f>
        <v/>
      </c>
      <c r="F148" s="25">
        <f>IFERROR(VALUE('Action Sheet'!I147),0)</f>
        <v/>
      </c>
      <c r="G148" s="25">
        <f>C148+D148-E148-F148</f>
        <v/>
      </c>
      <c r="H148" s="25">
        <f>'Action Sheet'!D147</f>
        <v/>
      </c>
      <c r="I148" s="25">
        <f>'Action Sheet'!E147</f>
        <v/>
      </c>
      <c r="J148" s="25">
        <f>'Action Sheet'!H147</f>
        <v/>
      </c>
      <c r="K148" s="25">
        <f>IF(H148="Attack",RANDBETWEEN(1,10),"")</f>
        <v/>
      </c>
      <c r="L148" s="25">
        <f>IF(H148="Attack", K148+IFERROR(SWITCH(XLOOKUP(I148,Catalog[Name],Catalog[AtkAttr]),"Force",XLOOKUP("The Olm",FactionState[Faction],FactionState[Force]),"Cunning",XLOOKUP("The Olm",FactionState[Faction],FactionState[Cunning]),"Wealth",XLOOKUP("The Olm",FactionState[Faction],FactionState[Wealth]),"Magic",XLOOKUP("The Olm",FactionState[Faction],FactionState[Magic]),0),0),"")</f>
        <v/>
      </c>
      <c r="M148" s="25">
        <f>IF(H148="Attack",RANDBETWEEN(1,10),"")</f>
        <v/>
      </c>
      <c r="N148" s="25">
        <f>IF(H148="Attack", M148+IFERROR(LET(def_fac, XLOOKUP(J148,Register[Asset],Register[Faction]),def_attr, XLOOKUP(I148,Catalog[Name],Catalog[DefAttr]),SWITCH(def_attr,"Force",XLOOKUP(def_fac,FactionState[Faction],FactionState[Force]),"Cunning",XLOOKUP(def_fac,FactionState[Faction],FactionState[Cunning]),"Wealth",XLOOKUP(def_fac,FactionState[Faction],FactionState[Wealth]),"Magic",XLOOKUP(def_fac,FactionState[Faction],FactionState[Magic]),0)),0),"")</f>
        <v/>
      </c>
      <c r="O148" s="25">
        <f>IF(H148&lt;&gt;"Attack","",IF(AND(ISNUMBER(L148),ISNUMBER(N148)),IF(L148&gt;N148,"Attacker","Defender"),""))</f>
        <v/>
      </c>
      <c r="P148" s="25">
        <f>IF(O148="Attacker",IFERROR(LET(nn,XLOOKUP(I148,Catalog[Name],Catalog[DmgN]),dd,XLOOKUP(I148,Catalog[Name],Catalog[DmgDie]),IF(dd=0,0,RANDBETWEEN(1,dd)+IF(nn&gt;=2,RANDBETWEEN(1,dd),0))),0),"")</f>
        <v/>
      </c>
      <c r="Q148" s="25">
        <f>IF(O148="Defender",IFERROR(LET(nn,XLOOKUP(J148,Catalog[Name],Catalog[CtrN]),dd,XLOOKUP(J148,Catalog[Name],Catalog[CtrDie]),IF(dd=0,0,RANDBETWEEN(1,dd)+IF(nn&gt;=2,RANDBETWEEN(1,dd),0))),0),"")</f>
        <v/>
      </c>
    </row>
    <row r="149">
      <c r="A149" s="20" t="n">
        <v>17</v>
      </c>
      <c r="B149" s="21" t="inlineStr">
        <is>
          <t>The Knotsmen</t>
        </is>
      </c>
      <c r="C149" s="22">
        <f>G140</f>
        <v/>
      </c>
      <c r="D149" s="22">
        <f>CEILING(XLOOKUP("The Knotsmen",FactionState[Faction],FactionState[Wealth])/2+XLOOKUP("The Knotsmen",FactionState[Faction],FactionState[Force])/4+XLOOKUP("The Knotsmen",FactionState[Faction],FactionState[Cunning])/4, 1)</f>
        <v/>
      </c>
      <c r="E149" s="22">
        <f>MAX(0,COUNTIFS(Register[Faction],"The Knotsmen",Register[Type],"Force")-XLOOKUP("The Knotsmen",FactionState[Faction],FactionState[Force]))+MAX(0,COUNTIFS(Register[Faction],"The Knotsmen",Register[Type],"Cunning")-XLOOKUP("The Knotsmen",FactionState[Faction],FactionState[Cunning]))+MAX(0,COUNTIFS(Register[Faction],"The Knotsmen",Register[Type],"Wealth")-XLOOKUP("The Knotsmen",FactionState[Faction],FactionState[Wealth]))+MAX(0,COUNTIFS(Register[Faction],"The Knotsmen",Register[Type],"Magic")-XLOOKUP("The Knotsmen",FactionState[Faction],FactionState[Magic]))</f>
        <v/>
      </c>
      <c r="F149" s="22">
        <f>IFERROR(VALUE('Action Sheet'!I148),0)</f>
        <v/>
      </c>
      <c r="G149" s="22">
        <f>C149+D149-E149-F149</f>
        <v/>
      </c>
      <c r="H149" s="22">
        <f>'Action Sheet'!D148</f>
        <v/>
      </c>
      <c r="I149" s="22">
        <f>'Action Sheet'!E148</f>
        <v/>
      </c>
      <c r="J149" s="22">
        <f>'Action Sheet'!H148</f>
        <v/>
      </c>
      <c r="K149" s="22">
        <f>IF(H149="Attack",RANDBETWEEN(1,10),"")</f>
        <v/>
      </c>
      <c r="L149" s="22">
        <f>IF(H149="Attack", K149+IFERROR(SWITCH(XLOOKUP(I149,Catalog[Name],Catalog[AtkAttr]),"Force",XLOOKUP("The Knotsmen",FactionState[Faction],FactionState[Force]),"Cunning",XLOOKUP("The Knotsmen",FactionState[Faction],FactionState[Cunning]),"Wealth",XLOOKUP("The Knotsmen",FactionState[Faction],FactionState[Wealth]),"Magic",XLOOKUP("The Knotsmen",FactionState[Faction],FactionState[Magic]),0),0),"")</f>
        <v/>
      </c>
      <c r="M149" s="22">
        <f>IF(H149="Attack",RANDBETWEEN(1,10),"")</f>
        <v/>
      </c>
      <c r="N149" s="22">
        <f>IF(H149="Attack", M149+IFERROR(LET(def_fac, XLOOKUP(J149,Register[Asset],Register[Faction]),def_attr, XLOOKUP(I149,Catalog[Name],Catalog[DefAttr]),SWITCH(def_attr,"Force",XLOOKUP(def_fac,FactionState[Faction],FactionState[Force]),"Cunning",XLOOKUP(def_fac,FactionState[Faction],FactionState[Cunning]),"Wealth",XLOOKUP(def_fac,FactionState[Faction],FactionState[Wealth]),"Magic",XLOOKUP(def_fac,FactionState[Faction],FactionState[Magic]),0)),0),"")</f>
        <v/>
      </c>
      <c r="O149" s="22">
        <f>IF(H149&lt;&gt;"Attack","",IF(AND(ISNUMBER(L149),ISNUMBER(N149)),IF(L149&gt;N149,"Attacker","Defender"),""))</f>
        <v/>
      </c>
      <c r="P149" s="22">
        <f>IF(O149="Attacker",IFERROR(LET(nn,XLOOKUP(I149,Catalog[Name],Catalog[DmgN]),dd,XLOOKUP(I149,Catalog[Name],Catalog[DmgDie]),IF(dd=0,0,RANDBETWEEN(1,dd)+IF(nn&gt;=2,RANDBETWEEN(1,dd),0))),0),"")</f>
        <v/>
      </c>
      <c r="Q149" s="22">
        <f>IF(O149="Defender",IFERROR(LET(nn,XLOOKUP(J149,Catalog[Name],Catalog[CtrN]),dd,XLOOKUP(J149,Catalog[Name],Catalog[CtrDie]),IF(dd=0,0,RANDBETWEEN(1,dd)+IF(nn&gt;=2,RANDBETWEEN(1,dd),0))),0),"")</f>
        <v/>
      </c>
    </row>
    <row r="150">
      <c r="A150" s="20" t="n">
        <v>17</v>
      </c>
      <c r="B150" s="21" t="inlineStr">
        <is>
          <t>The Aelf-Adal</t>
        </is>
      </c>
      <c r="C150" s="22">
        <f>G141</f>
        <v/>
      </c>
      <c r="D150" s="22">
        <f>CEILING(XLOOKUP("The Aelf-Adal",FactionState[Faction],FactionState[Wealth])/2+XLOOKUP("The Aelf-Adal",FactionState[Faction],FactionState[Force])/4+XLOOKUP("The Aelf-Adal",FactionState[Faction],FactionState[Cunning])/4, 1)</f>
        <v/>
      </c>
      <c r="E150" s="22">
        <f>MAX(0,COUNTIFS(Register[Faction],"The Aelf-Adal",Register[Type],"Force")-XLOOKUP("The Aelf-Adal",FactionState[Faction],FactionState[Force]))+MAX(0,COUNTIFS(Register[Faction],"The Aelf-Adal",Register[Type],"Cunning")-XLOOKUP("The Aelf-Adal",FactionState[Faction],FactionState[Cunning]))+MAX(0,COUNTIFS(Register[Faction],"The Aelf-Adal",Register[Type],"Wealth")-XLOOKUP("The Aelf-Adal",FactionState[Faction],FactionState[Wealth]))+MAX(0,COUNTIFS(Register[Faction],"The Aelf-Adal",Register[Type],"Magic")-XLOOKUP("The Aelf-Adal",FactionState[Faction],FactionState[Magic]))</f>
        <v/>
      </c>
      <c r="F150" s="22">
        <f>IFERROR(VALUE('Action Sheet'!I149),0)</f>
        <v/>
      </c>
      <c r="G150" s="22">
        <f>C150+D150-E150-F150</f>
        <v/>
      </c>
      <c r="H150" s="22">
        <f>'Action Sheet'!D149</f>
        <v/>
      </c>
      <c r="I150" s="22">
        <f>'Action Sheet'!E149</f>
        <v/>
      </c>
      <c r="J150" s="22">
        <f>'Action Sheet'!H149</f>
        <v/>
      </c>
      <c r="K150" s="22">
        <f>IF(H150="Attack",RANDBETWEEN(1,10),"")</f>
        <v/>
      </c>
      <c r="L150" s="22">
        <f>IF(H150="Attack", K150+IFERROR(SWITCH(XLOOKUP(I150,Catalog[Name],Catalog[AtkAttr]),"Force",XLOOKUP("The Aelf-Adal",FactionState[Faction],FactionState[Force]),"Cunning",XLOOKUP("The Aelf-Adal",FactionState[Faction],FactionState[Cunning]),"Wealth",XLOOKUP("The Aelf-Adal",FactionState[Faction],FactionState[Wealth]),"Magic",XLOOKUP("The Aelf-Adal",FactionState[Faction],FactionState[Magic]),0),0),"")</f>
        <v/>
      </c>
      <c r="M150" s="22">
        <f>IF(H150="Attack",RANDBETWEEN(1,10),"")</f>
        <v/>
      </c>
      <c r="N150" s="22">
        <f>IF(H150="Attack", M150+IFERROR(LET(def_fac, XLOOKUP(J150,Register[Asset],Register[Faction]),def_attr, XLOOKUP(I150,Catalog[Name],Catalog[DefAttr]),SWITCH(def_attr,"Force",XLOOKUP(def_fac,FactionState[Faction],FactionState[Force]),"Cunning",XLOOKUP(def_fac,FactionState[Faction],FactionState[Cunning]),"Wealth",XLOOKUP(def_fac,FactionState[Faction],FactionState[Wealth]),"Magic",XLOOKUP(def_fac,FactionState[Faction],FactionState[Magic]),0)),0),"")</f>
        <v/>
      </c>
      <c r="O150" s="22">
        <f>IF(H150&lt;&gt;"Attack","",IF(AND(ISNUMBER(L150),ISNUMBER(N150)),IF(L150&gt;N150,"Attacker","Defender"),""))</f>
        <v/>
      </c>
      <c r="P150" s="22">
        <f>IF(O150="Attacker",IFERROR(LET(nn,XLOOKUP(I150,Catalog[Name],Catalog[DmgN]),dd,XLOOKUP(I150,Catalog[Name],Catalog[DmgDie]),IF(dd=0,0,RANDBETWEEN(1,dd)+IF(nn&gt;=2,RANDBETWEEN(1,dd),0))),0),"")</f>
        <v/>
      </c>
      <c r="Q150" s="22">
        <f>IF(O150="Defender",IFERROR(LET(nn,XLOOKUP(J150,Catalog[Name],Catalog[CtrN]),dd,XLOOKUP(J150,Catalog[Name],Catalog[CtrDie]),IF(dd=0,0,RANDBETWEEN(1,dd)+IF(nn&gt;=2,RANDBETWEEN(1,dd),0))),0),"")</f>
        <v/>
      </c>
    </row>
    <row r="151">
      <c r="A151" s="20" t="n">
        <v>17</v>
      </c>
      <c r="B151" s="21" t="inlineStr">
        <is>
          <t>The Funginids</t>
        </is>
      </c>
      <c r="C151" s="22">
        <f>G142</f>
        <v/>
      </c>
      <c r="D151" s="22">
        <f>CEILING(XLOOKUP("The Funginids",FactionState[Faction],FactionState[Wealth])/2+XLOOKUP("The Funginids",FactionState[Faction],FactionState[Force])/4+XLOOKUP("The Funginids",FactionState[Faction],FactionState[Cunning])/4, 1)</f>
        <v/>
      </c>
      <c r="E151" s="22">
        <f>MAX(0,COUNTIFS(Register[Faction],"The Funginids",Register[Type],"Force")-XLOOKUP("The Funginids",FactionState[Faction],FactionState[Force]))+MAX(0,COUNTIFS(Register[Faction],"The Funginids",Register[Type],"Cunning")-XLOOKUP("The Funginids",FactionState[Faction],FactionState[Cunning]))+MAX(0,COUNTIFS(Register[Faction],"The Funginids",Register[Type],"Wealth")-XLOOKUP("The Funginids",FactionState[Faction],FactionState[Wealth]))+MAX(0,COUNTIFS(Register[Faction],"The Funginids",Register[Type],"Magic")-XLOOKUP("The Funginids",FactionState[Faction],FactionState[Magic]))</f>
        <v/>
      </c>
      <c r="F151" s="22">
        <f>IFERROR(VALUE('Action Sheet'!I150),0)</f>
        <v/>
      </c>
      <c r="G151" s="22">
        <f>C151+D151-E151-F151</f>
        <v/>
      </c>
      <c r="H151" s="22">
        <f>'Action Sheet'!D150</f>
        <v/>
      </c>
      <c r="I151" s="22">
        <f>'Action Sheet'!E150</f>
        <v/>
      </c>
      <c r="J151" s="22">
        <f>'Action Sheet'!H150</f>
        <v/>
      </c>
      <c r="K151" s="22">
        <f>IF(H151="Attack",RANDBETWEEN(1,10),"")</f>
        <v/>
      </c>
      <c r="L151" s="22">
        <f>IF(H151="Attack", K151+IFERROR(SWITCH(XLOOKUP(I151,Catalog[Name],Catalog[AtkAttr]),"Force",XLOOKUP("The Funginids",FactionState[Faction],FactionState[Force]),"Cunning",XLOOKUP("The Funginids",FactionState[Faction],FactionState[Cunning]),"Wealth",XLOOKUP("The Funginids",FactionState[Faction],FactionState[Wealth]),"Magic",XLOOKUP("The Funginids",FactionState[Faction],FactionState[Magic]),0),0),"")</f>
        <v/>
      </c>
      <c r="M151" s="22">
        <f>IF(H151="Attack",RANDBETWEEN(1,10),"")</f>
        <v/>
      </c>
      <c r="N151" s="22">
        <f>IF(H151="Attack", M151+IFERROR(LET(def_fac, XLOOKUP(J151,Register[Asset],Register[Faction]),def_attr, XLOOKUP(I151,Catalog[Name],Catalog[DefAttr]),SWITCH(def_attr,"Force",XLOOKUP(def_fac,FactionState[Faction],FactionState[Force]),"Cunning",XLOOKUP(def_fac,FactionState[Faction],FactionState[Cunning]),"Wealth",XLOOKUP(def_fac,FactionState[Faction],FactionState[Wealth]),"Magic",XLOOKUP(def_fac,FactionState[Faction],FactionState[Magic]),0)),0),"")</f>
        <v/>
      </c>
      <c r="O151" s="22">
        <f>IF(H151&lt;&gt;"Attack","",IF(AND(ISNUMBER(L151),ISNUMBER(N151)),IF(L151&gt;N151,"Attacker","Defender"),""))</f>
        <v/>
      </c>
      <c r="P151" s="22">
        <f>IF(O151="Attacker",IFERROR(LET(nn,XLOOKUP(I151,Catalog[Name],Catalog[DmgN]),dd,XLOOKUP(I151,Catalog[Name],Catalog[DmgDie]),IF(dd=0,0,RANDBETWEEN(1,dd)+IF(nn&gt;=2,RANDBETWEEN(1,dd),0))),0),"")</f>
        <v/>
      </c>
      <c r="Q151" s="22">
        <f>IF(O151="Defender",IFERROR(LET(nn,XLOOKUP(J151,Catalog[Name],Catalog[CtrN]),dd,XLOOKUP(J151,Catalog[Name],Catalog[CtrDie]),IF(dd=0,0,RANDBETWEEN(1,dd)+IF(nn&gt;=2,RANDBETWEEN(1,dd),0))),0),"")</f>
        <v/>
      </c>
    </row>
    <row r="152">
      <c r="A152" s="20" t="n">
        <v>17</v>
      </c>
      <c r="B152" s="21" t="inlineStr">
        <is>
          <t>The dErO</t>
        </is>
      </c>
      <c r="C152" s="22">
        <f>G143</f>
        <v/>
      </c>
      <c r="D152" s="22">
        <f>CEILING(XLOOKUP("The dErO",FactionState[Faction],FactionState[Wealth])/2+XLOOKUP("The dErO",FactionState[Faction],FactionState[Force])/4+XLOOKUP("The dErO",FactionState[Faction],FactionState[Cunning])/4, 1)</f>
        <v/>
      </c>
      <c r="E152" s="22">
        <f>MAX(0,COUNTIFS(Register[Faction],"The dErO",Register[Type],"Force")-XLOOKUP("The dErO",FactionState[Faction],FactionState[Force]))+MAX(0,COUNTIFS(Register[Faction],"The dErO",Register[Type],"Cunning")-XLOOKUP("The dErO",FactionState[Faction],FactionState[Cunning]))+MAX(0,COUNTIFS(Register[Faction],"The dErO",Register[Type],"Wealth")-XLOOKUP("The dErO",FactionState[Faction],FactionState[Wealth]))+MAX(0,COUNTIFS(Register[Faction],"The dErO",Register[Type],"Magic")-XLOOKUP("The dErO",FactionState[Faction],FactionState[Magic]))</f>
        <v/>
      </c>
      <c r="F152" s="22">
        <f>IFERROR(VALUE('Action Sheet'!I151),0)</f>
        <v/>
      </c>
      <c r="G152" s="22">
        <f>C152+D152-E152-F152</f>
        <v/>
      </c>
      <c r="H152" s="22">
        <f>'Action Sheet'!D151</f>
        <v/>
      </c>
      <c r="I152" s="22">
        <f>'Action Sheet'!E151</f>
        <v/>
      </c>
      <c r="J152" s="22">
        <f>'Action Sheet'!H151</f>
        <v/>
      </c>
      <c r="K152" s="22">
        <f>IF(H152="Attack",RANDBETWEEN(1,10),"")</f>
        <v/>
      </c>
      <c r="L152" s="22">
        <f>IF(H152="Attack", K152+IFERROR(SWITCH(XLOOKUP(I152,Catalog[Name],Catalog[AtkAttr]),"Force",XLOOKUP("The dErO",FactionState[Faction],FactionState[Force]),"Cunning",XLOOKUP("The dErO",FactionState[Faction],FactionState[Cunning]),"Wealth",XLOOKUP("The dErO",FactionState[Faction],FactionState[Wealth]),"Magic",XLOOKUP("The dErO",FactionState[Faction],FactionState[Magic]),0),0),"")</f>
        <v/>
      </c>
      <c r="M152" s="22">
        <f>IF(H152="Attack",RANDBETWEEN(1,10),"")</f>
        <v/>
      </c>
      <c r="N152" s="22">
        <f>IF(H152="Attack", M152+IFERROR(LET(def_fac, XLOOKUP(J152,Register[Asset],Register[Faction]),def_attr, XLOOKUP(I152,Catalog[Name],Catalog[DefAttr]),SWITCH(def_attr,"Force",XLOOKUP(def_fac,FactionState[Faction],FactionState[Force]),"Cunning",XLOOKUP(def_fac,FactionState[Faction],FactionState[Cunning]),"Wealth",XLOOKUP(def_fac,FactionState[Faction],FactionState[Wealth]),"Magic",XLOOKUP(def_fac,FactionState[Faction],FactionState[Magic]),0)),0),"")</f>
        <v/>
      </c>
      <c r="O152" s="22">
        <f>IF(H152&lt;&gt;"Attack","",IF(AND(ISNUMBER(L152),ISNUMBER(N152)),IF(L152&gt;N152,"Attacker","Defender"),""))</f>
        <v/>
      </c>
      <c r="P152" s="22">
        <f>IF(O152="Attacker",IFERROR(LET(nn,XLOOKUP(I152,Catalog[Name],Catalog[DmgN]),dd,XLOOKUP(I152,Catalog[Name],Catalog[DmgDie]),IF(dd=0,0,RANDBETWEEN(1,dd)+IF(nn&gt;=2,RANDBETWEEN(1,dd),0))),0),"")</f>
        <v/>
      </c>
      <c r="Q152" s="22">
        <f>IF(O152="Defender",IFERROR(LET(nn,XLOOKUP(J152,Catalog[Name],Catalog[CtrN]),dd,XLOOKUP(J152,Catalog[Name],Catalog[CtrDie]),IF(dd=0,0,RANDBETWEEN(1,dd)+IF(nn&gt;=2,RANDBETWEEN(1,dd),0))),0),"")</f>
        <v/>
      </c>
    </row>
    <row r="153">
      <c r="A153" s="20" t="n">
        <v>17</v>
      </c>
      <c r="B153" s="21" t="inlineStr">
        <is>
          <t>The Dvargir</t>
        </is>
      </c>
      <c r="C153" s="22">
        <f>G144</f>
        <v/>
      </c>
      <c r="D153" s="22">
        <f>CEILING(XLOOKUP("The Dvargir",FactionState[Faction],FactionState[Wealth])/2+XLOOKUP("The Dvargir",FactionState[Faction],FactionState[Force])/4+XLOOKUP("The Dvargir",FactionState[Faction],FactionState[Cunning])/4, 1)</f>
        <v/>
      </c>
      <c r="E153" s="22">
        <f>MAX(0,COUNTIFS(Register[Faction],"The Dvargir",Register[Type],"Force")-XLOOKUP("The Dvargir",FactionState[Faction],FactionState[Force]))+MAX(0,COUNTIFS(Register[Faction],"The Dvargir",Register[Type],"Cunning")-XLOOKUP("The Dvargir",FactionState[Faction],FactionState[Cunning]))+MAX(0,COUNTIFS(Register[Faction],"The Dvargir",Register[Type],"Wealth")-XLOOKUP("The Dvargir",FactionState[Faction],FactionState[Wealth]))+MAX(0,COUNTIFS(Register[Faction],"The Dvargir",Register[Type],"Magic")-XLOOKUP("The Dvargir",FactionState[Faction],FactionState[Magic]))</f>
        <v/>
      </c>
      <c r="F153" s="22">
        <f>IFERROR(VALUE('Action Sheet'!I152),0)</f>
        <v/>
      </c>
      <c r="G153" s="22">
        <f>C153+D153-E153-F153</f>
        <v/>
      </c>
      <c r="H153" s="22">
        <f>'Action Sheet'!D152</f>
        <v/>
      </c>
      <c r="I153" s="22">
        <f>'Action Sheet'!E152</f>
        <v/>
      </c>
      <c r="J153" s="22">
        <f>'Action Sheet'!H152</f>
        <v/>
      </c>
      <c r="K153" s="22">
        <f>IF(H153="Attack",RANDBETWEEN(1,10),"")</f>
        <v/>
      </c>
      <c r="L153" s="22">
        <f>IF(H153="Attack", K153+IFERROR(SWITCH(XLOOKUP(I153,Catalog[Name],Catalog[AtkAttr]),"Force",XLOOKUP("The Dvargir",FactionState[Faction],FactionState[Force]),"Cunning",XLOOKUP("The Dvargir",FactionState[Faction],FactionState[Cunning]),"Wealth",XLOOKUP("The Dvargir",FactionState[Faction],FactionState[Wealth]),"Magic",XLOOKUP("The Dvargir",FactionState[Faction],FactionState[Magic]),0),0),"")</f>
        <v/>
      </c>
      <c r="M153" s="22">
        <f>IF(H153="Attack",RANDBETWEEN(1,10),"")</f>
        <v/>
      </c>
      <c r="N153" s="22">
        <f>IF(H153="Attack", M153+IFERROR(LET(def_fac, XLOOKUP(J153,Register[Asset],Register[Faction]),def_attr, XLOOKUP(I153,Catalog[Name],Catalog[DefAttr]),SWITCH(def_attr,"Force",XLOOKUP(def_fac,FactionState[Faction],FactionState[Force]),"Cunning",XLOOKUP(def_fac,FactionState[Faction],FactionState[Cunning]),"Wealth",XLOOKUP(def_fac,FactionState[Faction],FactionState[Wealth]),"Magic",XLOOKUP(def_fac,FactionState[Faction],FactionState[Magic]),0)),0),"")</f>
        <v/>
      </c>
      <c r="O153" s="22">
        <f>IF(H153&lt;&gt;"Attack","",IF(AND(ISNUMBER(L153),ISNUMBER(N153)),IF(L153&gt;N153,"Attacker","Defender"),""))</f>
        <v/>
      </c>
      <c r="P153" s="22">
        <f>IF(O153="Attacker",IFERROR(LET(nn,XLOOKUP(I153,Catalog[Name],Catalog[DmgN]),dd,XLOOKUP(I153,Catalog[Name],Catalog[DmgDie]),IF(dd=0,0,RANDBETWEEN(1,dd)+IF(nn&gt;=2,RANDBETWEEN(1,dd),0))),0),"")</f>
        <v/>
      </c>
      <c r="Q153" s="22">
        <f>IF(O153="Defender",IFERROR(LET(nn,XLOOKUP(J153,Catalog[Name],Catalog[CtrN]),dd,XLOOKUP(J153,Catalog[Name],Catalog[CtrDie]),IF(dd=0,0,RANDBETWEEN(1,dd)+IF(nn&gt;=2,RANDBETWEEN(1,dd),0))),0),"")</f>
        <v/>
      </c>
    </row>
    <row r="154">
      <c r="A154" s="20" t="n">
        <v>17</v>
      </c>
      <c r="B154" s="21" t="inlineStr">
        <is>
          <t>The Gnonmen</t>
        </is>
      </c>
      <c r="C154" s="22">
        <f>G145</f>
        <v/>
      </c>
      <c r="D154" s="22">
        <f>CEILING(XLOOKUP("The Gnonmen",FactionState[Faction],FactionState[Wealth])/2+XLOOKUP("The Gnonmen",FactionState[Faction],FactionState[Force])/4+XLOOKUP("The Gnonmen",FactionState[Faction],FactionState[Cunning])/4, 1)</f>
        <v/>
      </c>
      <c r="E154" s="22">
        <f>MAX(0,COUNTIFS(Register[Faction],"The Gnonmen",Register[Type],"Force")-XLOOKUP("The Gnonmen",FactionState[Faction],FactionState[Force]))+MAX(0,COUNTIFS(Register[Faction],"The Gnonmen",Register[Type],"Cunning")-XLOOKUP("The Gnonmen",FactionState[Faction],FactionState[Cunning]))+MAX(0,COUNTIFS(Register[Faction],"The Gnonmen",Register[Type],"Wealth")-XLOOKUP("The Gnonmen",FactionState[Faction],FactionState[Wealth]))+MAX(0,COUNTIFS(Register[Faction],"The Gnonmen",Register[Type],"Magic")-XLOOKUP("The Gnonmen",FactionState[Faction],FactionState[Magic]))</f>
        <v/>
      </c>
      <c r="F154" s="22">
        <f>IFERROR(VALUE('Action Sheet'!I153),0)</f>
        <v/>
      </c>
      <c r="G154" s="22">
        <f>C154+D154-E154-F154</f>
        <v/>
      </c>
      <c r="H154" s="22">
        <f>'Action Sheet'!D153</f>
        <v/>
      </c>
      <c r="I154" s="22">
        <f>'Action Sheet'!E153</f>
        <v/>
      </c>
      <c r="J154" s="22">
        <f>'Action Sheet'!H153</f>
        <v/>
      </c>
      <c r="K154" s="22">
        <f>IF(H154="Attack",RANDBETWEEN(1,10),"")</f>
        <v/>
      </c>
      <c r="L154" s="22">
        <f>IF(H154="Attack", K154+IFERROR(SWITCH(XLOOKUP(I154,Catalog[Name],Catalog[AtkAttr]),"Force",XLOOKUP("The Gnonmen",FactionState[Faction],FactionState[Force]),"Cunning",XLOOKUP("The Gnonmen",FactionState[Faction],FactionState[Cunning]),"Wealth",XLOOKUP("The Gnonmen",FactionState[Faction],FactionState[Wealth]),"Magic",XLOOKUP("The Gnonmen",FactionState[Faction],FactionState[Magic]),0),0),"")</f>
        <v/>
      </c>
      <c r="M154" s="22">
        <f>IF(H154="Attack",RANDBETWEEN(1,10),"")</f>
        <v/>
      </c>
      <c r="N154" s="22">
        <f>IF(H154="Attack", M154+IFERROR(LET(def_fac, XLOOKUP(J154,Register[Asset],Register[Faction]),def_attr, XLOOKUP(I154,Catalog[Name],Catalog[DefAttr]),SWITCH(def_attr,"Force",XLOOKUP(def_fac,FactionState[Faction],FactionState[Force]),"Cunning",XLOOKUP(def_fac,FactionState[Faction],FactionState[Cunning]),"Wealth",XLOOKUP(def_fac,FactionState[Faction],FactionState[Wealth]),"Magic",XLOOKUP(def_fac,FactionState[Faction],FactionState[Magic]),0)),0),"")</f>
        <v/>
      </c>
      <c r="O154" s="22">
        <f>IF(H154&lt;&gt;"Attack","",IF(AND(ISNUMBER(L154),ISNUMBER(N154)),IF(L154&gt;N154,"Attacker","Defender"),""))</f>
        <v/>
      </c>
      <c r="P154" s="22">
        <f>IF(O154="Attacker",IFERROR(LET(nn,XLOOKUP(I154,Catalog[Name],Catalog[DmgN]),dd,XLOOKUP(I154,Catalog[Name],Catalog[DmgDie]),IF(dd=0,0,RANDBETWEEN(1,dd)+IF(nn&gt;=2,RANDBETWEEN(1,dd),0))),0),"")</f>
        <v/>
      </c>
      <c r="Q154" s="22">
        <f>IF(O154="Defender",IFERROR(LET(nn,XLOOKUP(J154,Catalog[Name],Catalog[CtrN]),dd,XLOOKUP(J154,Catalog[Name],Catalog[CtrDie]),IF(dd=0,0,RANDBETWEEN(1,dd)+IF(nn&gt;=2,RANDBETWEEN(1,dd),0))),0),"")</f>
        <v/>
      </c>
    </row>
    <row r="155">
      <c r="A155" s="20" t="n">
        <v>17</v>
      </c>
      <c r="B155" s="21" t="inlineStr">
        <is>
          <t>The Substratals</t>
        </is>
      </c>
      <c r="C155" s="22">
        <f>G146</f>
        <v/>
      </c>
      <c r="D155" s="22">
        <f>CEILING(XLOOKUP("The Substratals",FactionState[Faction],FactionState[Wealth])/2+XLOOKUP("The Substratals",FactionState[Faction],FactionState[Force])/4+XLOOKUP("The Substratals",FactionState[Faction],FactionState[Cunning])/4, 1)</f>
        <v/>
      </c>
      <c r="E155" s="22">
        <f>MAX(0,COUNTIFS(Register[Faction],"The Substratals",Register[Type],"Force")-XLOOKUP("The Substratals",FactionState[Faction],FactionState[Force]))+MAX(0,COUNTIFS(Register[Faction],"The Substratals",Register[Type],"Cunning")-XLOOKUP("The Substratals",FactionState[Faction],FactionState[Cunning]))+MAX(0,COUNTIFS(Register[Faction],"The Substratals",Register[Type],"Wealth")-XLOOKUP("The Substratals",FactionState[Faction],FactionState[Wealth]))+MAX(0,COUNTIFS(Register[Faction],"The Substratals",Register[Type],"Magic")-XLOOKUP("The Substratals",FactionState[Faction],FactionState[Magic]))</f>
        <v/>
      </c>
      <c r="F155" s="22">
        <f>IFERROR(VALUE('Action Sheet'!I154),0)</f>
        <v/>
      </c>
      <c r="G155" s="22">
        <f>C155+D155-E155-F155</f>
        <v/>
      </c>
      <c r="H155" s="22">
        <f>'Action Sheet'!D154</f>
        <v/>
      </c>
      <c r="I155" s="22">
        <f>'Action Sheet'!E154</f>
        <v/>
      </c>
      <c r="J155" s="22">
        <f>'Action Sheet'!H154</f>
        <v/>
      </c>
      <c r="K155" s="22">
        <f>IF(H155="Attack",RANDBETWEEN(1,10),"")</f>
        <v/>
      </c>
      <c r="L155" s="22">
        <f>IF(H155="Attack", K155+IFERROR(SWITCH(XLOOKUP(I155,Catalog[Name],Catalog[AtkAttr]),"Force",XLOOKUP("The Substratals",FactionState[Faction],FactionState[Force]),"Cunning",XLOOKUP("The Substratals",FactionState[Faction],FactionState[Cunning]),"Wealth",XLOOKUP("The Substratals",FactionState[Faction],FactionState[Wealth]),"Magic",XLOOKUP("The Substratals",FactionState[Faction],FactionState[Magic]),0),0),"")</f>
        <v/>
      </c>
      <c r="M155" s="22">
        <f>IF(H155="Attack",RANDBETWEEN(1,10),"")</f>
        <v/>
      </c>
      <c r="N155" s="22">
        <f>IF(H155="Attack", M155+IFERROR(LET(def_fac, XLOOKUP(J155,Register[Asset],Register[Faction]),def_attr, XLOOKUP(I155,Catalog[Name],Catalog[DefAttr]),SWITCH(def_attr,"Force",XLOOKUP(def_fac,FactionState[Faction],FactionState[Force]),"Cunning",XLOOKUP(def_fac,FactionState[Faction],FactionState[Cunning]),"Wealth",XLOOKUP(def_fac,FactionState[Faction],FactionState[Wealth]),"Magic",XLOOKUP(def_fac,FactionState[Faction],FactionState[Magic]),0)),0),"")</f>
        <v/>
      </c>
      <c r="O155" s="22">
        <f>IF(H155&lt;&gt;"Attack","",IF(AND(ISNUMBER(L155),ISNUMBER(N155)),IF(L155&gt;N155,"Attacker","Defender"),""))</f>
        <v/>
      </c>
      <c r="P155" s="22">
        <f>IF(O155="Attacker",IFERROR(LET(nn,XLOOKUP(I155,Catalog[Name],Catalog[DmgN]),dd,XLOOKUP(I155,Catalog[Name],Catalog[DmgDie]),IF(dd=0,0,RANDBETWEEN(1,dd)+IF(nn&gt;=2,RANDBETWEEN(1,dd),0))),0),"")</f>
        <v/>
      </c>
      <c r="Q155" s="22">
        <f>IF(O155="Defender",IFERROR(LET(nn,XLOOKUP(J155,Catalog[Name],Catalog[CtrN]),dd,XLOOKUP(J155,Catalog[Name],Catalog[CtrDie]),IF(dd=0,0,RANDBETWEEN(1,dd)+IF(nn&gt;=2,RANDBETWEEN(1,dd),0))),0),"")</f>
        <v/>
      </c>
    </row>
    <row r="156">
      <c r="A156" s="20" t="n">
        <v>17</v>
      </c>
      <c r="B156" s="21" t="inlineStr">
        <is>
          <t>The Deep Janeen</t>
        </is>
      </c>
      <c r="C156" s="22">
        <f>G147</f>
        <v/>
      </c>
      <c r="D156" s="22">
        <f>CEILING(XLOOKUP("The Deep Janeen",FactionState[Faction],FactionState[Wealth])/2+XLOOKUP("The Deep Janeen",FactionState[Faction],FactionState[Force])/4+XLOOKUP("The Deep Janeen",FactionState[Faction],FactionState[Cunning])/4, 1)</f>
        <v/>
      </c>
      <c r="E156" s="22">
        <f>MAX(0,COUNTIFS(Register[Faction],"The Deep Janeen",Register[Type],"Force")-XLOOKUP("The Deep Janeen",FactionState[Faction],FactionState[Force]))+MAX(0,COUNTIFS(Register[Faction],"The Deep Janeen",Register[Type],"Cunning")-XLOOKUP("The Deep Janeen",FactionState[Faction],FactionState[Cunning]))+MAX(0,COUNTIFS(Register[Faction],"The Deep Janeen",Register[Type],"Wealth")-XLOOKUP("The Deep Janeen",FactionState[Faction],FactionState[Wealth]))+MAX(0,COUNTIFS(Register[Faction],"The Deep Janeen",Register[Type],"Magic")-XLOOKUP("The Deep Janeen",FactionState[Faction],FactionState[Magic]))</f>
        <v/>
      </c>
      <c r="F156" s="22">
        <f>IFERROR(VALUE('Action Sheet'!I155),0)</f>
        <v/>
      </c>
      <c r="G156" s="22">
        <f>C156+D156-E156-F156</f>
        <v/>
      </c>
      <c r="H156" s="22">
        <f>'Action Sheet'!D155</f>
        <v/>
      </c>
      <c r="I156" s="22">
        <f>'Action Sheet'!E155</f>
        <v/>
      </c>
      <c r="J156" s="22">
        <f>'Action Sheet'!H155</f>
        <v/>
      </c>
      <c r="K156" s="22">
        <f>IF(H156="Attack",RANDBETWEEN(1,10),"")</f>
        <v/>
      </c>
      <c r="L156" s="22">
        <f>IF(H156="Attack", K156+IFERROR(SWITCH(XLOOKUP(I156,Catalog[Name],Catalog[AtkAttr]),"Force",XLOOKUP("The Deep Janeen",FactionState[Faction],FactionState[Force]),"Cunning",XLOOKUP("The Deep Janeen",FactionState[Faction],FactionState[Cunning]),"Wealth",XLOOKUP("The Deep Janeen",FactionState[Faction],FactionState[Wealth]),"Magic",XLOOKUP("The Deep Janeen",FactionState[Faction],FactionState[Magic]),0),0),"")</f>
        <v/>
      </c>
      <c r="M156" s="22">
        <f>IF(H156="Attack",RANDBETWEEN(1,10),"")</f>
        <v/>
      </c>
      <c r="N156" s="22">
        <f>IF(H156="Attack", M156+IFERROR(LET(def_fac, XLOOKUP(J156,Register[Asset],Register[Faction]),def_attr, XLOOKUP(I156,Catalog[Name],Catalog[DefAttr]),SWITCH(def_attr,"Force",XLOOKUP(def_fac,FactionState[Faction],FactionState[Force]),"Cunning",XLOOKUP(def_fac,FactionState[Faction],FactionState[Cunning]),"Wealth",XLOOKUP(def_fac,FactionState[Faction],FactionState[Wealth]),"Magic",XLOOKUP(def_fac,FactionState[Faction],FactionState[Magic]),0)),0),"")</f>
        <v/>
      </c>
      <c r="O156" s="22">
        <f>IF(H156&lt;&gt;"Attack","",IF(AND(ISNUMBER(L156),ISNUMBER(N156)),IF(L156&gt;N156,"Attacker","Defender"),""))</f>
        <v/>
      </c>
      <c r="P156" s="22">
        <f>IF(O156="Attacker",IFERROR(LET(nn,XLOOKUP(I156,Catalog[Name],Catalog[DmgN]),dd,XLOOKUP(I156,Catalog[Name],Catalog[DmgDie]),IF(dd=0,0,RANDBETWEEN(1,dd)+IF(nn&gt;=2,RANDBETWEEN(1,dd),0))),0),"")</f>
        <v/>
      </c>
      <c r="Q156" s="22">
        <f>IF(O156="Defender",IFERROR(LET(nn,XLOOKUP(J156,Catalog[Name],Catalog[CtrN]),dd,XLOOKUP(J156,Catalog[Name],Catalog[CtrDie]),IF(dd=0,0,RANDBETWEEN(1,dd)+IF(nn&gt;=2,RANDBETWEEN(1,dd),0))),0),"")</f>
        <v/>
      </c>
    </row>
    <row r="157">
      <c r="A157" s="20" t="n">
        <v>17</v>
      </c>
      <c r="B157" s="21" t="inlineStr">
        <is>
          <t>The Olm</t>
        </is>
      </c>
      <c r="C157" s="22">
        <f>G148</f>
        <v/>
      </c>
      <c r="D157" s="22">
        <f>CEILING(XLOOKUP("The Olm",FactionState[Faction],FactionState[Wealth])/2+XLOOKUP("The Olm",FactionState[Faction],FactionState[Force])/4+XLOOKUP("The Olm",FactionState[Faction],FactionState[Cunning])/4, 1)</f>
        <v/>
      </c>
      <c r="E157" s="22">
        <f>MAX(0,COUNTIFS(Register[Faction],"The Olm",Register[Type],"Force")-XLOOKUP("The Olm",FactionState[Faction],FactionState[Force]))+MAX(0,COUNTIFS(Register[Faction],"The Olm",Register[Type],"Cunning")-XLOOKUP("The Olm",FactionState[Faction],FactionState[Cunning]))+MAX(0,COUNTIFS(Register[Faction],"The Olm",Register[Type],"Wealth")-XLOOKUP("The Olm",FactionState[Faction],FactionState[Wealth]))+MAX(0,COUNTIFS(Register[Faction],"The Olm",Register[Type],"Magic")-XLOOKUP("The Olm",FactionState[Faction],FactionState[Magic]))</f>
        <v/>
      </c>
      <c r="F157" s="22">
        <f>IFERROR(VALUE('Action Sheet'!I156),0)</f>
        <v/>
      </c>
      <c r="G157" s="22">
        <f>C157+D157-E157-F157</f>
        <v/>
      </c>
      <c r="H157" s="22">
        <f>'Action Sheet'!D156</f>
        <v/>
      </c>
      <c r="I157" s="22">
        <f>'Action Sheet'!E156</f>
        <v/>
      </c>
      <c r="J157" s="22">
        <f>'Action Sheet'!H156</f>
        <v/>
      </c>
      <c r="K157" s="22">
        <f>IF(H157="Attack",RANDBETWEEN(1,10),"")</f>
        <v/>
      </c>
      <c r="L157" s="22">
        <f>IF(H157="Attack", K157+IFERROR(SWITCH(XLOOKUP(I157,Catalog[Name],Catalog[AtkAttr]),"Force",XLOOKUP("The Olm",FactionState[Faction],FactionState[Force]),"Cunning",XLOOKUP("The Olm",FactionState[Faction],FactionState[Cunning]),"Wealth",XLOOKUP("The Olm",FactionState[Faction],FactionState[Wealth]),"Magic",XLOOKUP("The Olm",FactionState[Faction],FactionState[Magic]),0),0),"")</f>
        <v/>
      </c>
      <c r="M157" s="22">
        <f>IF(H157="Attack",RANDBETWEEN(1,10),"")</f>
        <v/>
      </c>
      <c r="N157" s="22">
        <f>IF(H157="Attack", M157+IFERROR(LET(def_fac, XLOOKUP(J157,Register[Asset],Register[Faction]),def_attr, XLOOKUP(I157,Catalog[Name],Catalog[DefAttr]),SWITCH(def_attr,"Force",XLOOKUP(def_fac,FactionState[Faction],FactionState[Force]),"Cunning",XLOOKUP(def_fac,FactionState[Faction],FactionState[Cunning]),"Wealth",XLOOKUP(def_fac,FactionState[Faction],FactionState[Wealth]),"Magic",XLOOKUP(def_fac,FactionState[Faction],FactionState[Magic]),0)),0),"")</f>
        <v/>
      </c>
      <c r="O157" s="22">
        <f>IF(H157&lt;&gt;"Attack","",IF(AND(ISNUMBER(L157),ISNUMBER(N157)),IF(L157&gt;N157,"Attacker","Defender"),""))</f>
        <v/>
      </c>
      <c r="P157" s="22">
        <f>IF(O157="Attacker",IFERROR(LET(nn,XLOOKUP(I157,Catalog[Name],Catalog[DmgN]),dd,XLOOKUP(I157,Catalog[Name],Catalog[DmgDie]),IF(dd=0,0,RANDBETWEEN(1,dd)+IF(nn&gt;=2,RANDBETWEEN(1,dd),0))),0),"")</f>
        <v/>
      </c>
      <c r="Q157" s="22">
        <f>IF(O157="Defender",IFERROR(LET(nn,XLOOKUP(J157,Catalog[Name],Catalog[CtrN]),dd,XLOOKUP(J157,Catalog[Name],Catalog[CtrDie]),IF(dd=0,0,RANDBETWEEN(1,dd)+IF(nn&gt;=2,RANDBETWEEN(1,dd),0))),0),"")</f>
        <v/>
      </c>
    </row>
    <row r="158">
      <c r="A158" s="23" t="n">
        <v>18</v>
      </c>
      <c r="B158" s="24" t="inlineStr">
        <is>
          <t>The Knotsmen</t>
        </is>
      </c>
      <c r="C158" s="25">
        <f>G149</f>
        <v/>
      </c>
      <c r="D158" s="25">
        <f>CEILING(XLOOKUP("The Knotsmen",FactionState[Faction],FactionState[Wealth])/2+XLOOKUP("The Knotsmen",FactionState[Faction],FactionState[Force])/4+XLOOKUP("The Knotsmen",FactionState[Faction],FactionState[Cunning])/4, 1)</f>
        <v/>
      </c>
      <c r="E158" s="25">
        <f>MAX(0,COUNTIFS(Register[Faction],"The Knotsmen",Register[Type],"Force")-XLOOKUP("The Knotsmen",FactionState[Faction],FactionState[Force]))+MAX(0,COUNTIFS(Register[Faction],"The Knotsmen",Register[Type],"Cunning")-XLOOKUP("The Knotsmen",FactionState[Faction],FactionState[Cunning]))+MAX(0,COUNTIFS(Register[Faction],"The Knotsmen",Register[Type],"Wealth")-XLOOKUP("The Knotsmen",FactionState[Faction],FactionState[Wealth]))+MAX(0,COUNTIFS(Register[Faction],"The Knotsmen",Register[Type],"Magic")-XLOOKUP("The Knotsmen",FactionState[Faction],FactionState[Magic]))</f>
        <v/>
      </c>
      <c r="F158" s="25">
        <f>IFERROR(VALUE('Action Sheet'!I157),0)</f>
        <v/>
      </c>
      <c r="G158" s="25">
        <f>C158+D158-E158-F158</f>
        <v/>
      </c>
      <c r="H158" s="25">
        <f>'Action Sheet'!D157</f>
        <v/>
      </c>
      <c r="I158" s="25">
        <f>'Action Sheet'!E157</f>
        <v/>
      </c>
      <c r="J158" s="25">
        <f>'Action Sheet'!H157</f>
        <v/>
      </c>
      <c r="K158" s="25">
        <f>IF(H158="Attack",RANDBETWEEN(1,10),"")</f>
        <v/>
      </c>
      <c r="L158" s="25">
        <f>IF(H158="Attack", K158+IFERROR(SWITCH(XLOOKUP(I158,Catalog[Name],Catalog[AtkAttr]),"Force",XLOOKUP("The Knotsmen",FactionState[Faction],FactionState[Force]),"Cunning",XLOOKUP("The Knotsmen",FactionState[Faction],FactionState[Cunning]),"Wealth",XLOOKUP("The Knotsmen",FactionState[Faction],FactionState[Wealth]),"Magic",XLOOKUP("The Knotsmen",FactionState[Faction],FactionState[Magic]),0),0),"")</f>
        <v/>
      </c>
      <c r="M158" s="25">
        <f>IF(H158="Attack",RANDBETWEEN(1,10),"")</f>
        <v/>
      </c>
      <c r="N158" s="25">
        <f>IF(H158="Attack", M158+IFERROR(LET(def_fac, XLOOKUP(J158,Register[Asset],Register[Faction]),def_attr, XLOOKUP(I158,Catalog[Name],Catalog[DefAttr]),SWITCH(def_attr,"Force",XLOOKUP(def_fac,FactionState[Faction],FactionState[Force]),"Cunning",XLOOKUP(def_fac,FactionState[Faction],FactionState[Cunning]),"Wealth",XLOOKUP(def_fac,FactionState[Faction],FactionState[Wealth]),"Magic",XLOOKUP(def_fac,FactionState[Faction],FactionState[Magic]),0)),0),"")</f>
        <v/>
      </c>
      <c r="O158" s="25">
        <f>IF(H158&lt;&gt;"Attack","",IF(AND(ISNUMBER(L158),ISNUMBER(N158)),IF(L158&gt;N158,"Attacker","Defender"),""))</f>
        <v/>
      </c>
      <c r="P158" s="25">
        <f>IF(O158="Attacker",IFERROR(LET(nn,XLOOKUP(I158,Catalog[Name],Catalog[DmgN]),dd,XLOOKUP(I158,Catalog[Name],Catalog[DmgDie]),IF(dd=0,0,RANDBETWEEN(1,dd)+IF(nn&gt;=2,RANDBETWEEN(1,dd),0))),0),"")</f>
        <v/>
      </c>
      <c r="Q158" s="25">
        <f>IF(O158="Defender",IFERROR(LET(nn,XLOOKUP(J158,Catalog[Name],Catalog[CtrN]),dd,XLOOKUP(J158,Catalog[Name],Catalog[CtrDie]),IF(dd=0,0,RANDBETWEEN(1,dd)+IF(nn&gt;=2,RANDBETWEEN(1,dd),0))),0),"")</f>
        <v/>
      </c>
    </row>
    <row r="159">
      <c r="A159" s="23" t="n">
        <v>18</v>
      </c>
      <c r="B159" s="24" t="inlineStr">
        <is>
          <t>The Aelf-Adal</t>
        </is>
      </c>
      <c r="C159" s="25">
        <f>G150</f>
        <v/>
      </c>
      <c r="D159" s="25">
        <f>CEILING(XLOOKUP("The Aelf-Adal",FactionState[Faction],FactionState[Wealth])/2+XLOOKUP("The Aelf-Adal",FactionState[Faction],FactionState[Force])/4+XLOOKUP("The Aelf-Adal",FactionState[Faction],FactionState[Cunning])/4, 1)</f>
        <v/>
      </c>
      <c r="E159" s="25">
        <f>MAX(0,COUNTIFS(Register[Faction],"The Aelf-Adal",Register[Type],"Force")-XLOOKUP("The Aelf-Adal",FactionState[Faction],FactionState[Force]))+MAX(0,COUNTIFS(Register[Faction],"The Aelf-Adal",Register[Type],"Cunning")-XLOOKUP("The Aelf-Adal",FactionState[Faction],FactionState[Cunning]))+MAX(0,COUNTIFS(Register[Faction],"The Aelf-Adal",Register[Type],"Wealth")-XLOOKUP("The Aelf-Adal",FactionState[Faction],FactionState[Wealth]))+MAX(0,COUNTIFS(Register[Faction],"The Aelf-Adal",Register[Type],"Magic")-XLOOKUP("The Aelf-Adal",FactionState[Faction],FactionState[Magic]))</f>
        <v/>
      </c>
      <c r="F159" s="25">
        <f>IFERROR(VALUE('Action Sheet'!I158),0)</f>
        <v/>
      </c>
      <c r="G159" s="25">
        <f>C159+D159-E159-F159</f>
        <v/>
      </c>
      <c r="H159" s="25">
        <f>'Action Sheet'!D158</f>
        <v/>
      </c>
      <c r="I159" s="25">
        <f>'Action Sheet'!E158</f>
        <v/>
      </c>
      <c r="J159" s="25">
        <f>'Action Sheet'!H158</f>
        <v/>
      </c>
      <c r="K159" s="25">
        <f>IF(H159="Attack",RANDBETWEEN(1,10),"")</f>
        <v/>
      </c>
      <c r="L159" s="25">
        <f>IF(H159="Attack", K159+IFERROR(SWITCH(XLOOKUP(I159,Catalog[Name],Catalog[AtkAttr]),"Force",XLOOKUP("The Aelf-Adal",FactionState[Faction],FactionState[Force]),"Cunning",XLOOKUP("The Aelf-Adal",FactionState[Faction],FactionState[Cunning]),"Wealth",XLOOKUP("The Aelf-Adal",FactionState[Faction],FactionState[Wealth]),"Magic",XLOOKUP("The Aelf-Adal",FactionState[Faction],FactionState[Magic]),0),0),"")</f>
        <v/>
      </c>
      <c r="M159" s="25">
        <f>IF(H159="Attack",RANDBETWEEN(1,10),"")</f>
        <v/>
      </c>
      <c r="N159" s="25">
        <f>IF(H159="Attack", M159+IFERROR(LET(def_fac, XLOOKUP(J159,Register[Asset],Register[Faction]),def_attr, XLOOKUP(I159,Catalog[Name],Catalog[DefAttr]),SWITCH(def_attr,"Force",XLOOKUP(def_fac,FactionState[Faction],FactionState[Force]),"Cunning",XLOOKUP(def_fac,FactionState[Faction],FactionState[Cunning]),"Wealth",XLOOKUP(def_fac,FactionState[Faction],FactionState[Wealth]),"Magic",XLOOKUP(def_fac,FactionState[Faction],FactionState[Magic]),0)),0),"")</f>
        <v/>
      </c>
      <c r="O159" s="25">
        <f>IF(H159&lt;&gt;"Attack","",IF(AND(ISNUMBER(L159),ISNUMBER(N159)),IF(L159&gt;N159,"Attacker","Defender"),""))</f>
        <v/>
      </c>
      <c r="P159" s="25">
        <f>IF(O159="Attacker",IFERROR(LET(nn,XLOOKUP(I159,Catalog[Name],Catalog[DmgN]),dd,XLOOKUP(I159,Catalog[Name],Catalog[DmgDie]),IF(dd=0,0,RANDBETWEEN(1,dd)+IF(nn&gt;=2,RANDBETWEEN(1,dd),0))),0),"")</f>
        <v/>
      </c>
      <c r="Q159" s="25">
        <f>IF(O159="Defender",IFERROR(LET(nn,XLOOKUP(J159,Catalog[Name],Catalog[CtrN]),dd,XLOOKUP(J159,Catalog[Name],Catalog[CtrDie]),IF(dd=0,0,RANDBETWEEN(1,dd)+IF(nn&gt;=2,RANDBETWEEN(1,dd),0))),0),"")</f>
        <v/>
      </c>
    </row>
    <row r="160">
      <c r="A160" s="23" t="n">
        <v>18</v>
      </c>
      <c r="B160" s="24" t="inlineStr">
        <is>
          <t>The Funginids</t>
        </is>
      </c>
      <c r="C160" s="25">
        <f>G151</f>
        <v/>
      </c>
      <c r="D160" s="25">
        <f>CEILING(XLOOKUP("The Funginids",FactionState[Faction],FactionState[Wealth])/2+XLOOKUP("The Funginids",FactionState[Faction],FactionState[Force])/4+XLOOKUP("The Funginids",FactionState[Faction],FactionState[Cunning])/4, 1)</f>
        <v/>
      </c>
      <c r="E160" s="25">
        <f>MAX(0,COUNTIFS(Register[Faction],"The Funginids",Register[Type],"Force")-XLOOKUP("The Funginids",FactionState[Faction],FactionState[Force]))+MAX(0,COUNTIFS(Register[Faction],"The Funginids",Register[Type],"Cunning")-XLOOKUP("The Funginids",FactionState[Faction],FactionState[Cunning]))+MAX(0,COUNTIFS(Register[Faction],"The Funginids",Register[Type],"Wealth")-XLOOKUP("The Funginids",FactionState[Faction],FactionState[Wealth]))+MAX(0,COUNTIFS(Register[Faction],"The Funginids",Register[Type],"Magic")-XLOOKUP("The Funginids",FactionState[Faction],FactionState[Magic]))</f>
        <v/>
      </c>
      <c r="F160" s="25">
        <f>IFERROR(VALUE('Action Sheet'!I159),0)</f>
        <v/>
      </c>
      <c r="G160" s="25">
        <f>C160+D160-E160-F160</f>
        <v/>
      </c>
      <c r="H160" s="25">
        <f>'Action Sheet'!D159</f>
        <v/>
      </c>
      <c r="I160" s="25">
        <f>'Action Sheet'!E159</f>
        <v/>
      </c>
      <c r="J160" s="25">
        <f>'Action Sheet'!H159</f>
        <v/>
      </c>
      <c r="K160" s="25">
        <f>IF(H160="Attack",RANDBETWEEN(1,10),"")</f>
        <v/>
      </c>
      <c r="L160" s="25">
        <f>IF(H160="Attack", K160+IFERROR(SWITCH(XLOOKUP(I160,Catalog[Name],Catalog[AtkAttr]),"Force",XLOOKUP("The Funginids",FactionState[Faction],FactionState[Force]),"Cunning",XLOOKUP("The Funginids",FactionState[Faction],FactionState[Cunning]),"Wealth",XLOOKUP("The Funginids",FactionState[Faction],FactionState[Wealth]),"Magic",XLOOKUP("The Funginids",FactionState[Faction],FactionState[Magic]),0),0),"")</f>
        <v/>
      </c>
      <c r="M160" s="25">
        <f>IF(H160="Attack",RANDBETWEEN(1,10),"")</f>
        <v/>
      </c>
      <c r="N160" s="25">
        <f>IF(H160="Attack", M160+IFERROR(LET(def_fac, XLOOKUP(J160,Register[Asset],Register[Faction]),def_attr, XLOOKUP(I160,Catalog[Name],Catalog[DefAttr]),SWITCH(def_attr,"Force",XLOOKUP(def_fac,FactionState[Faction],FactionState[Force]),"Cunning",XLOOKUP(def_fac,FactionState[Faction],FactionState[Cunning]),"Wealth",XLOOKUP(def_fac,FactionState[Faction],FactionState[Wealth]),"Magic",XLOOKUP(def_fac,FactionState[Faction],FactionState[Magic]),0)),0),"")</f>
        <v/>
      </c>
      <c r="O160" s="25">
        <f>IF(H160&lt;&gt;"Attack","",IF(AND(ISNUMBER(L160),ISNUMBER(N160)),IF(L160&gt;N160,"Attacker","Defender"),""))</f>
        <v/>
      </c>
      <c r="P160" s="25">
        <f>IF(O160="Attacker",IFERROR(LET(nn,XLOOKUP(I160,Catalog[Name],Catalog[DmgN]),dd,XLOOKUP(I160,Catalog[Name],Catalog[DmgDie]),IF(dd=0,0,RANDBETWEEN(1,dd)+IF(nn&gt;=2,RANDBETWEEN(1,dd),0))),0),"")</f>
        <v/>
      </c>
      <c r="Q160" s="25">
        <f>IF(O160="Defender",IFERROR(LET(nn,XLOOKUP(J160,Catalog[Name],Catalog[CtrN]),dd,XLOOKUP(J160,Catalog[Name],Catalog[CtrDie]),IF(dd=0,0,RANDBETWEEN(1,dd)+IF(nn&gt;=2,RANDBETWEEN(1,dd),0))),0),"")</f>
        <v/>
      </c>
    </row>
    <row r="161">
      <c r="A161" s="23" t="n">
        <v>18</v>
      </c>
      <c r="B161" s="24" t="inlineStr">
        <is>
          <t>The dErO</t>
        </is>
      </c>
      <c r="C161" s="25">
        <f>G152</f>
        <v/>
      </c>
      <c r="D161" s="25">
        <f>CEILING(XLOOKUP("The dErO",FactionState[Faction],FactionState[Wealth])/2+XLOOKUP("The dErO",FactionState[Faction],FactionState[Force])/4+XLOOKUP("The dErO",FactionState[Faction],FactionState[Cunning])/4, 1)</f>
        <v/>
      </c>
      <c r="E161" s="25">
        <f>MAX(0,COUNTIFS(Register[Faction],"The dErO",Register[Type],"Force")-XLOOKUP("The dErO",FactionState[Faction],FactionState[Force]))+MAX(0,COUNTIFS(Register[Faction],"The dErO",Register[Type],"Cunning")-XLOOKUP("The dErO",FactionState[Faction],FactionState[Cunning]))+MAX(0,COUNTIFS(Register[Faction],"The dErO",Register[Type],"Wealth")-XLOOKUP("The dErO",FactionState[Faction],FactionState[Wealth]))+MAX(0,COUNTIFS(Register[Faction],"The dErO",Register[Type],"Magic")-XLOOKUP("The dErO",FactionState[Faction],FactionState[Magic]))</f>
        <v/>
      </c>
      <c r="F161" s="25">
        <f>IFERROR(VALUE('Action Sheet'!I160),0)</f>
        <v/>
      </c>
      <c r="G161" s="25">
        <f>C161+D161-E161-F161</f>
        <v/>
      </c>
      <c r="H161" s="25">
        <f>'Action Sheet'!D160</f>
        <v/>
      </c>
      <c r="I161" s="25">
        <f>'Action Sheet'!E160</f>
        <v/>
      </c>
      <c r="J161" s="25">
        <f>'Action Sheet'!H160</f>
        <v/>
      </c>
      <c r="K161" s="25">
        <f>IF(H161="Attack",RANDBETWEEN(1,10),"")</f>
        <v/>
      </c>
      <c r="L161" s="25">
        <f>IF(H161="Attack", K161+IFERROR(SWITCH(XLOOKUP(I161,Catalog[Name],Catalog[AtkAttr]),"Force",XLOOKUP("The dErO",FactionState[Faction],FactionState[Force]),"Cunning",XLOOKUP("The dErO",FactionState[Faction],FactionState[Cunning]),"Wealth",XLOOKUP("The dErO",FactionState[Faction],FactionState[Wealth]),"Magic",XLOOKUP("The dErO",FactionState[Faction],FactionState[Magic]),0),0),"")</f>
        <v/>
      </c>
      <c r="M161" s="25">
        <f>IF(H161="Attack",RANDBETWEEN(1,10),"")</f>
        <v/>
      </c>
      <c r="N161" s="25">
        <f>IF(H161="Attack", M161+IFERROR(LET(def_fac, XLOOKUP(J161,Register[Asset],Register[Faction]),def_attr, XLOOKUP(I161,Catalog[Name],Catalog[DefAttr]),SWITCH(def_attr,"Force",XLOOKUP(def_fac,FactionState[Faction],FactionState[Force]),"Cunning",XLOOKUP(def_fac,FactionState[Faction],FactionState[Cunning]),"Wealth",XLOOKUP(def_fac,FactionState[Faction],FactionState[Wealth]),"Magic",XLOOKUP(def_fac,FactionState[Faction],FactionState[Magic]),0)),0),"")</f>
        <v/>
      </c>
      <c r="O161" s="25">
        <f>IF(H161&lt;&gt;"Attack","",IF(AND(ISNUMBER(L161),ISNUMBER(N161)),IF(L161&gt;N161,"Attacker","Defender"),""))</f>
        <v/>
      </c>
      <c r="P161" s="25">
        <f>IF(O161="Attacker",IFERROR(LET(nn,XLOOKUP(I161,Catalog[Name],Catalog[DmgN]),dd,XLOOKUP(I161,Catalog[Name],Catalog[DmgDie]),IF(dd=0,0,RANDBETWEEN(1,dd)+IF(nn&gt;=2,RANDBETWEEN(1,dd),0))),0),"")</f>
        <v/>
      </c>
      <c r="Q161" s="25">
        <f>IF(O161="Defender",IFERROR(LET(nn,XLOOKUP(J161,Catalog[Name],Catalog[CtrN]),dd,XLOOKUP(J161,Catalog[Name],Catalog[CtrDie]),IF(dd=0,0,RANDBETWEEN(1,dd)+IF(nn&gt;=2,RANDBETWEEN(1,dd),0))),0),"")</f>
        <v/>
      </c>
    </row>
    <row r="162">
      <c r="A162" s="23" t="n">
        <v>18</v>
      </c>
      <c r="B162" s="24" t="inlineStr">
        <is>
          <t>The Dvargir</t>
        </is>
      </c>
      <c r="C162" s="25">
        <f>G153</f>
        <v/>
      </c>
      <c r="D162" s="25">
        <f>CEILING(XLOOKUP("The Dvargir",FactionState[Faction],FactionState[Wealth])/2+XLOOKUP("The Dvargir",FactionState[Faction],FactionState[Force])/4+XLOOKUP("The Dvargir",FactionState[Faction],FactionState[Cunning])/4, 1)</f>
        <v/>
      </c>
      <c r="E162" s="25">
        <f>MAX(0,COUNTIFS(Register[Faction],"The Dvargir",Register[Type],"Force")-XLOOKUP("The Dvargir",FactionState[Faction],FactionState[Force]))+MAX(0,COUNTIFS(Register[Faction],"The Dvargir",Register[Type],"Cunning")-XLOOKUP("The Dvargir",FactionState[Faction],FactionState[Cunning]))+MAX(0,COUNTIFS(Register[Faction],"The Dvargir",Register[Type],"Wealth")-XLOOKUP("The Dvargir",FactionState[Faction],FactionState[Wealth]))+MAX(0,COUNTIFS(Register[Faction],"The Dvargir",Register[Type],"Magic")-XLOOKUP("The Dvargir",FactionState[Faction],FactionState[Magic]))</f>
        <v/>
      </c>
      <c r="F162" s="25">
        <f>IFERROR(VALUE('Action Sheet'!I161),0)</f>
        <v/>
      </c>
      <c r="G162" s="25">
        <f>C162+D162-E162-F162</f>
        <v/>
      </c>
      <c r="H162" s="25">
        <f>'Action Sheet'!D161</f>
        <v/>
      </c>
      <c r="I162" s="25">
        <f>'Action Sheet'!E161</f>
        <v/>
      </c>
      <c r="J162" s="25">
        <f>'Action Sheet'!H161</f>
        <v/>
      </c>
      <c r="K162" s="25">
        <f>IF(H162="Attack",RANDBETWEEN(1,10),"")</f>
        <v/>
      </c>
      <c r="L162" s="25">
        <f>IF(H162="Attack", K162+IFERROR(SWITCH(XLOOKUP(I162,Catalog[Name],Catalog[AtkAttr]),"Force",XLOOKUP("The Dvargir",FactionState[Faction],FactionState[Force]),"Cunning",XLOOKUP("The Dvargir",FactionState[Faction],FactionState[Cunning]),"Wealth",XLOOKUP("The Dvargir",FactionState[Faction],FactionState[Wealth]),"Magic",XLOOKUP("The Dvargir",FactionState[Faction],FactionState[Magic]),0),0),"")</f>
        <v/>
      </c>
      <c r="M162" s="25">
        <f>IF(H162="Attack",RANDBETWEEN(1,10),"")</f>
        <v/>
      </c>
      <c r="N162" s="25">
        <f>IF(H162="Attack", M162+IFERROR(LET(def_fac, XLOOKUP(J162,Register[Asset],Register[Faction]),def_attr, XLOOKUP(I162,Catalog[Name],Catalog[DefAttr]),SWITCH(def_attr,"Force",XLOOKUP(def_fac,FactionState[Faction],FactionState[Force]),"Cunning",XLOOKUP(def_fac,FactionState[Faction],FactionState[Cunning]),"Wealth",XLOOKUP(def_fac,FactionState[Faction],FactionState[Wealth]),"Magic",XLOOKUP(def_fac,FactionState[Faction],FactionState[Magic]),0)),0),"")</f>
        <v/>
      </c>
      <c r="O162" s="25">
        <f>IF(H162&lt;&gt;"Attack","",IF(AND(ISNUMBER(L162),ISNUMBER(N162)),IF(L162&gt;N162,"Attacker","Defender"),""))</f>
        <v/>
      </c>
      <c r="P162" s="25">
        <f>IF(O162="Attacker",IFERROR(LET(nn,XLOOKUP(I162,Catalog[Name],Catalog[DmgN]),dd,XLOOKUP(I162,Catalog[Name],Catalog[DmgDie]),IF(dd=0,0,RANDBETWEEN(1,dd)+IF(nn&gt;=2,RANDBETWEEN(1,dd),0))),0),"")</f>
        <v/>
      </c>
      <c r="Q162" s="25">
        <f>IF(O162="Defender",IFERROR(LET(nn,XLOOKUP(J162,Catalog[Name],Catalog[CtrN]),dd,XLOOKUP(J162,Catalog[Name],Catalog[CtrDie]),IF(dd=0,0,RANDBETWEEN(1,dd)+IF(nn&gt;=2,RANDBETWEEN(1,dd),0))),0),"")</f>
        <v/>
      </c>
    </row>
    <row r="163">
      <c r="A163" s="23" t="n">
        <v>18</v>
      </c>
      <c r="B163" s="24" t="inlineStr">
        <is>
          <t>The Gnonmen</t>
        </is>
      </c>
      <c r="C163" s="25">
        <f>G154</f>
        <v/>
      </c>
      <c r="D163" s="25">
        <f>CEILING(XLOOKUP("The Gnonmen",FactionState[Faction],FactionState[Wealth])/2+XLOOKUP("The Gnonmen",FactionState[Faction],FactionState[Force])/4+XLOOKUP("The Gnonmen",FactionState[Faction],FactionState[Cunning])/4, 1)</f>
        <v/>
      </c>
      <c r="E163" s="25">
        <f>MAX(0,COUNTIFS(Register[Faction],"The Gnonmen",Register[Type],"Force")-XLOOKUP("The Gnonmen",FactionState[Faction],FactionState[Force]))+MAX(0,COUNTIFS(Register[Faction],"The Gnonmen",Register[Type],"Cunning")-XLOOKUP("The Gnonmen",FactionState[Faction],FactionState[Cunning]))+MAX(0,COUNTIFS(Register[Faction],"The Gnonmen",Register[Type],"Wealth")-XLOOKUP("The Gnonmen",FactionState[Faction],FactionState[Wealth]))+MAX(0,COUNTIFS(Register[Faction],"The Gnonmen",Register[Type],"Magic")-XLOOKUP("The Gnonmen",FactionState[Faction],FactionState[Magic]))</f>
        <v/>
      </c>
      <c r="F163" s="25">
        <f>IFERROR(VALUE('Action Sheet'!I162),0)</f>
        <v/>
      </c>
      <c r="G163" s="25">
        <f>C163+D163-E163-F163</f>
        <v/>
      </c>
      <c r="H163" s="25">
        <f>'Action Sheet'!D162</f>
        <v/>
      </c>
      <c r="I163" s="25">
        <f>'Action Sheet'!E162</f>
        <v/>
      </c>
      <c r="J163" s="25">
        <f>'Action Sheet'!H162</f>
        <v/>
      </c>
      <c r="K163" s="25">
        <f>IF(H163="Attack",RANDBETWEEN(1,10),"")</f>
        <v/>
      </c>
      <c r="L163" s="25">
        <f>IF(H163="Attack", K163+IFERROR(SWITCH(XLOOKUP(I163,Catalog[Name],Catalog[AtkAttr]),"Force",XLOOKUP("The Gnonmen",FactionState[Faction],FactionState[Force]),"Cunning",XLOOKUP("The Gnonmen",FactionState[Faction],FactionState[Cunning]),"Wealth",XLOOKUP("The Gnonmen",FactionState[Faction],FactionState[Wealth]),"Magic",XLOOKUP("The Gnonmen",FactionState[Faction],FactionState[Magic]),0),0),"")</f>
        <v/>
      </c>
      <c r="M163" s="25">
        <f>IF(H163="Attack",RANDBETWEEN(1,10),"")</f>
        <v/>
      </c>
      <c r="N163" s="25">
        <f>IF(H163="Attack", M163+IFERROR(LET(def_fac, XLOOKUP(J163,Register[Asset],Register[Faction]),def_attr, XLOOKUP(I163,Catalog[Name],Catalog[DefAttr]),SWITCH(def_attr,"Force",XLOOKUP(def_fac,FactionState[Faction],FactionState[Force]),"Cunning",XLOOKUP(def_fac,FactionState[Faction],FactionState[Cunning]),"Wealth",XLOOKUP(def_fac,FactionState[Faction],FactionState[Wealth]),"Magic",XLOOKUP(def_fac,FactionState[Faction],FactionState[Magic]),0)),0),"")</f>
        <v/>
      </c>
      <c r="O163" s="25">
        <f>IF(H163&lt;&gt;"Attack","",IF(AND(ISNUMBER(L163),ISNUMBER(N163)),IF(L163&gt;N163,"Attacker","Defender"),""))</f>
        <v/>
      </c>
      <c r="P163" s="25">
        <f>IF(O163="Attacker",IFERROR(LET(nn,XLOOKUP(I163,Catalog[Name],Catalog[DmgN]),dd,XLOOKUP(I163,Catalog[Name],Catalog[DmgDie]),IF(dd=0,0,RANDBETWEEN(1,dd)+IF(nn&gt;=2,RANDBETWEEN(1,dd),0))),0),"")</f>
        <v/>
      </c>
      <c r="Q163" s="25">
        <f>IF(O163="Defender",IFERROR(LET(nn,XLOOKUP(J163,Catalog[Name],Catalog[CtrN]),dd,XLOOKUP(J163,Catalog[Name],Catalog[CtrDie]),IF(dd=0,0,RANDBETWEEN(1,dd)+IF(nn&gt;=2,RANDBETWEEN(1,dd),0))),0),"")</f>
        <v/>
      </c>
    </row>
    <row r="164">
      <c r="A164" s="23" t="n">
        <v>18</v>
      </c>
      <c r="B164" s="24" t="inlineStr">
        <is>
          <t>The Substratals</t>
        </is>
      </c>
      <c r="C164" s="25">
        <f>G155</f>
        <v/>
      </c>
      <c r="D164" s="25">
        <f>CEILING(XLOOKUP("The Substratals",FactionState[Faction],FactionState[Wealth])/2+XLOOKUP("The Substratals",FactionState[Faction],FactionState[Force])/4+XLOOKUP("The Substratals",FactionState[Faction],FactionState[Cunning])/4, 1)</f>
        <v/>
      </c>
      <c r="E164" s="25">
        <f>MAX(0,COUNTIFS(Register[Faction],"The Substratals",Register[Type],"Force")-XLOOKUP("The Substratals",FactionState[Faction],FactionState[Force]))+MAX(0,COUNTIFS(Register[Faction],"The Substratals",Register[Type],"Cunning")-XLOOKUP("The Substratals",FactionState[Faction],FactionState[Cunning]))+MAX(0,COUNTIFS(Register[Faction],"The Substratals",Register[Type],"Wealth")-XLOOKUP("The Substratals",FactionState[Faction],FactionState[Wealth]))+MAX(0,COUNTIFS(Register[Faction],"The Substratals",Register[Type],"Magic")-XLOOKUP("The Substratals",FactionState[Faction],FactionState[Magic]))</f>
        <v/>
      </c>
      <c r="F164" s="25">
        <f>IFERROR(VALUE('Action Sheet'!I163),0)</f>
        <v/>
      </c>
      <c r="G164" s="25">
        <f>C164+D164-E164-F164</f>
        <v/>
      </c>
      <c r="H164" s="25">
        <f>'Action Sheet'!D163</f>
        <v/>
      </c>
      <c r="I164" s="25">
        <f>'Action Sheet'!E163</f>
        <v/>
      </c>
      <c r="J164" s="25">
        <f>'Action Sheet'!H163</f>
        <v/>
      </c>
      <c r="K164" s="25">
        <f>IF(H164="Attack",RANDBETWEEN(1,10),"")</f>
        <v/>
      </c>
      <c r="L164" s="25">
        <f>IF(H164="Attack", K164+IFERROR(SWITCH(XLOOKUP(I164,Catalog[Name],Catalog[AtkAttr]),"Force",XLOOKUP("The Substratals",FactionState[Faction],FactionState[Force]),"Cunning",XLOOKUP("The Substratals",FactionState[Faction],FactionState[Cunning]),"Wealth",XLOOKUP("The Substratals",FactionState[Faction],FactionState[Wealth]),"Magic",XLOOKUP("The Substratals",FactionState[Faction],FactionState[Magic]),0),0),"")</f>
        <v/>
      </c>
      <c r="M164" s="25">
        <f>IF(H164="Attack",RANDBETWEEN(1,10),"")</f>
        <v/>
      </c>
      <c r="N164" s="25">
        <f>IF(H164="Attack", M164+IFERROR(LET(def_fac, XLOOKUP(J164,Register[Asset],Register[Faction]),def_attr, XLOOKUP(I164,Catalog[Name],Catalog[DefAttr]),SWITCH(def_attr,"Force",XLOOKUP(def_fac,FactionState[Faction],FactionState[Force]),"Cunning",XLOOKUP(def_fac,FactionState[Faction],FactionState[Cunning]),"Wealth",XLOOKUP(def_fac,FactionState[Faction],FactionState[Wealth]),"Magic",XLOOKUP(def_fac,FactionState[Faction],FactionState[Magic]),0)),0),"")</f>
        <v/>
      </c>
      <c r="O164" s="25">
        <f>IF(H164&lt;&gt;"Attack","",IF(AND(ISNUMBER(L164),ISNUMBER(N164)),IF(L164&gt;N164,"Attacker","Defender"),""))</f>
        <v/>
      </c>
      <c r="P164" s="25">
        <f>IF(O164="Attacker",IFERROR(LET(nn,XLOOKUP(I164,Catalog[Name],Catalog[DmgN]),dd,XLOOKUP(I164,Catalog[Name],Catalog[DmgDie]),IF(dd=0,0,RANDBETWEEN(1,dd)+IF(nn&gt;=2,RANDBETWEEN(1,dd),0))),0),"")</f>
        <v/>
      </c>
      <c r="Q164" s="25">
        <f>IF(O164="Defender",IFERROR(LET(nn,XLOOKUP(J164,Catalog[Name],Catalog[CtrN]),dd,XLOOKUP(J164,Catalog[Name],Catalog[CtrDie]),IF(dd=0,0,RANDBETWEEN(1,dd)+IF(nn&gt;=2,RANDBETWEEN(1,dd),0))),0),"")</f>
        <v/>
      </c>
    </row>
    <row r="165">
      <c r="A165" s="23" t="n">
        <v>18</v>
      </c>
      <c r="B165" s="24" t="inlineStr">
        <is>
          <t>The Deep Janeen</t>
        </is>
      </c>
      <c r="C165" s="25">
        <f>G156</f>
        <v/>
      </c>
      <c r="D165" s="25">
        <f>CEILING(XLOOKUP("The Deep Janeen",FactionState[Faction],FactionState[Wealth])/2+XLOOKUP("The Deep Janeen",FactionState[Faction],FactionState[Force])/4+XLOOKUP("The Deep Janeen",FactionState[Faction],FactionState[Cunning])/4, 1)</f>
        <v/>
      </c>
      <c r="E165" s="25">
        <f>MAX(0,COUNTIFS(Register[Faction],"The Deep Janeen",Register[Type],"Force")-XLOOKUP("The Deep Janeen",FactionState[Faction],FactionState[Force]))+MAX(0,COUNTIFS(Register[Faction],"The Deep Janeen",Register[Type],"Cunning")-XLOOKUP("The Deep Janeen",FactionState[Faction],FactionState[Cunning]))+MAX(0,COUNTIFS(Register[Faction],"The Deep Janeen",Register[Type],"Wealth")-XLOOKUP("The Deep Janeen",FactionState[Faction],FactionState[Wealth]))+MAX(0,COUNTIFS(Register[Faction],"The Deep Janeen",Register[Type],"Magic")-XLOOKUP("The Deep Janeen",FactionState[Faction],FactionState[Magic]))</f>
        <v/>
      </c>
      <c r="F165" s="25">
        <f>IFERROR(VALUE('Action Sheet'!I164),0)</f>
        <v/>
      </c>
      <c r="G165" s="25">
        <f>C165+D165-E165-F165</f>
        <v/>
      </c>
      <c r="H165" s="25">
        <f>'Action Sheet'!D164</f>
        <v/>
      </c>
      <c r="I165" s="25">
        <f>'Action Sheet'!E164</f>
        <v/>
      </c>
      <c r="J165" s="25">
        <f>'Action Sheet'!H164</f>
        <v/>
      </c>
      <c r="K165" s="25">
        <f>IF(H165="Attack",RANDBETWEEN(1,10),"")</f>
        <v/>
      </c>
      <c r="L165" s="25">
        <f>IF(H165="Attack", K165+IFERROR(SWITCH(XLOOKUP(I165,Catalog[Name],Catalog[AtkAttr]),"Force",XLOOKUP("The Deep Janeen",FactionState[Faction],FactionState[Force]),"Cunning",XLOOKUP("The Deep Janeen",FactionState[Faction],FactionState[Cunning]),"Wealth",XLOOKUP("The Deep Janeen",FactionState[Faction],FactionState[Wealth]),"Magic",XLOOKUP("The Deep Janeen",FactionState[Faction],FactionState[Magic]),0),0),"")</f>
        <v/>
      </c>
      <c r="M165" s="25">
        <f>IF(H165="Attack",RANDBETWEEN(1,10),"")</f>
        <v/>
      </c>
      <c r="N165" s="25">
        <f>IF(H165="Attack", M165+IFERROR(LET(def_fac, XLOOKUP(J165,Register[Asset],Register[Faction]),def_attr, XLOOKUP(I165,Catalog[Name],Catalog[DefAttr]),SWITCH(def_attr,"Force",XLOOKUP(def_fac,FactionState[Faction],FactionState[Force]),"Cunning",XLOOKUP(def_fac,FactionState[Faction],FactionState[Cunning]),"Wealth",XLOOKUP(def_fac,FactionState[Faction],FactionState[Wealth]),"Magic",XLOOKUP(def_fac,FactionState[Faction],FactionState[Magic]),0)),0),"")</f>
        <v/>
      </c>
      <c r="O165" s="25">
        <f>IF(H165&lt;&gt;"Attack","",IF(AND(ISNUMBER(L165),ISNUMBER(N165)),IF(L165&gt;N165,"Attacker","Defender"),""))</f>
        <v/>
      </c>
      <c r="P165" s="25">
        <f>IF(O165="Attacker",IFERROR(LET(nn,XLOOKUP(I165,Catalog[Name],Catalog[DmgN]),dd,XLOOKUP(I165,Catalog[Name],Catalog[DmgDie]),IF(dd=0,0,RANDBETWEEN(1,dd)+IF(nn&gt;=2,RANDBETWEEN(1,dd),0))),0),"")</f>
        <v/>
      </c>
      <c r="Q165" s="25">
        <f>IF(O165="Defender",IFERROR(LET(nn,XLOOKUP(J165,Catalog[Name],Catalog[CtrN]),dd,XLOOKUP(J165,Catalog[Name],Catalog[CtrDie]),IF(dd=0,0,RANDBETWEEN(1,dd)+IF(nn&gt;=2,RANDBETWEEN(1,dd),0))),0),"")</f>
        <v/>
      </c>
    </row>
    <row r="166">
      <c r="A166" s="23" t="n">
        <v>18</v>
      </c>
      <c r="B166" s="24" t="inlineStr">
        <is>
          <t>The Olm</t>
        </is>
      </c>
      <c r="C166" s="25">
        <f>G157</f>
        <v/>
      </c>
      <c r="D166" s="25">
        <f>CEILING(XLOOKUP("The Olm",FactionState[Faction],FactionState[Wealth])/2+XLOOKUP("The Olm",FactionState[Faction],FactionState[Force])/4+XLOOKUP("The Olm",FactionState[Faction],FactionState[Cunning])/4, 1)</f>
        <v/>
      </c>
      <c r="E166" s="25">
        <f>MAX(0,COUNTIFS(Register[Faction],"The Olm",Register[Type],"Force")-XLOOKUP("The Olm",FactionState[Faction],FactionState[Force]))+MAX(0,COUNTIFS(Register[Faction],"The Olm",Register[Type],"Cunning")-XLOOKUP("The Olm",FactionState[Faction],FactionState[Cunning]))+MAX(0,COUNTIFS(Register[Faction],"The Olm",Register[Type],"Wealth")-XLOOKUP("The Olm",FactionState[Faction],FactionState[Wealth]))+MAX(0,COUNTIFS(Register[Faction],"The Olm",Register[Type],"Magic")-XLOOKUP("The Olm",FactionState[Faction],FactionState[Magic]))</f>
        <v/>
      </c>
      <c r="F166" s="25">
        <f>IFERROR(VALUE('Action Sheet'!I165),0)</f>
        <v/>
      </c>
      <c r="G166" s="25">
        <f>C166+D166-E166-F166</f>
        <v/>
      </c>
      <c r="H166" s="25">
        <f>'Action Sheet'!D165</f>
        <v/>
      </c>
      <c r="I166" s="25">
        <f>'Action Sheet'!E165</f>
        <v/>
      </c>
      <c r="J166" s="25">
        <f>'Action Sheet'!H165</f>
        <v/>
      </c>
      <c r="K166" s="25">
        <f>IF(H166="Attack",RANDBETWEEN(1,10),"")</f>
        <v/>
      </c>
      <c r="L166" s="25">
        <f>IF(H166="Attack", K166+IFERROR(SWITCH(XLOOKUP(I166,Catalog[Name],Catalog[AtkAttr]),"Force",XLOOKUP("The Olm",FactionState[Faction],FactionState[Force]),"Cunning",XLOOKUP("The Olm",FactionState[Faction],FactionState[Cunning]),"Wealth",XLOOKUP("The Olm",FactionState[Faction],FactionState[Wealth]),"Magic",XLOOKUP("The Olm",FactionState[Faction],FactionState[Magic]),0),0),"")</f>
        <v/>
      </c>
      <c r="M166" s="25">
        <f>IF(H166="Attack",RANDBETWEEN(1,10),"")</f>
        <v/>
      </c>
      <c r="N166" s="25">
        <f>IF(H166="Attack", M166+IFERROR(LET(def_fac, XLOOKUP(J166,Register[Asset],Register[Faction]),def_attr, XLOOKUP(I166,Catalog[Name],Catalog[DefAttr]),SWITCH(def_attr,"Force",XLOOKUP(def_fac,FactionState[Faction],FactionState[Force]),"Cunning",XLOOKUP(def_fac,FactionState[Faction],FactionState[Cunning]),"Wealth",XLOOKUP(def_fac,FactionState[Faction],FactionState[Wealth]),"Magic",XLOOKUP(def_fac,FactionState[Faction],FactionState[Magic]),0)),0),"")</f>
        <v/>
      </c>
      <c r="O166" s="25">
        <f>IF(H166&lt;&gt;"Attack","",IF(AND(ISNUMBER(L166),ISNUMBER(N166)),IF(L166&gt;N166,"Attacker","Defender"),""))</f>
        <v/>
      </c>
      <c r="P166" s="25">
        <f>IF(O166="Attacker",IFERROR(LET(nn,XLOOKUP(I166,Catalog[Name],Catalog[DmgN]),dd,XLOOKUP(I166,Catalog[Name],Catalog[DmgDie]),IF(dd=0,0,RANDBETWEEN(1,dd)+IF(nn&gt;=2,RANDBETWEEN(1,dd),0))),0),"")</f>
        <v/>
      </c>
      <c r="Q166" s="25">
        <f>IF(O166="Defender",IFERROR(LET(nn,XLOOKUP(J166,Catalog[Name],Catalog[CtrN]),dd,XLOOKUP(J166,Catalog[Name],Catalog[CtrDie]),IF(dd=0,0,RANDBETWEEN(1,dd)+IF(nn&gt;=2,RANDBETWEEN(1,dd),0))),0),"")</f>
        <v/>
      </c>
    </row>
    <row r="167">
      <c r="A167" s="20" t="n">
        <v>19</v>
      </c>
      <c r="B167" s="21" t="inlineStr">
        <is>
          <t>The Knotsmen</t>
        </is>
      </c>
      <c r="C167" s="22">
        <f>G158</f>
        <v/>
      </c>
      <c r="D167" s="22">
        <f>CEILING(XLOOKUP("The Knotsmen",FactionState[Faction],FactionState[Wealth])/2+XLOOKUP("The Knotsmen",FactionState[Faction],FactionState[Force])/4+XLOOKUP("The Knotsmen",FactionState[Faction],FactionState[Cunning])/4, 1)</f>
        <v/>
      </c>
      <c r="E167" s="22">
        <f>MAX(0,COUNTIFS(Register[Faction],"The Knotsmen",Register[Type],"Force")-XLOOKUP("The Knotsmen",FactionState[Faction],FactionState[Force]))+MAX(0,COUNTIFS(Register[Faction],"The Knotsmen",Register[Type],"Cunning")-XLOOKUP("The Knotsmen",FactionState[Faction],FactionState[Cunning]))+MAX(0,COUNTIFS(Register[Faction],"The Knotsmen",Register[Type],"Wealth")-XLOOKUP("The Knotsmen",FactionState[Faction],FactionState[Wealth]))+MAX(0,COUNTIFS(Register[Faction],"The Knotsmen",Register[Type],"Magic")-XLOOKUP("The Knotsmen",FactionState[Faction],FactionState[Magic]))</f>
        <v/>
      </c>
      <c r="F167" s="22">
        <f>IFERROR(VALUE('Action Sheet'!I166),0)</f>
        <v/>
      </c>
      <c r="G167" s="22">
        <f>C167+D167-E167-F167</f>
        <v/>
      </c>
      <c r="H167" s="22">
        <f>'Action Sheet'!D166</f>
        <v/>
      </c>
      <c r="I167" s="22">
        <f>'Action Sheet'!E166</f>
        <v/>
      </c>
      <c r="J167" s="22">
        <f>'Action Sheet'!H166</f>
        <v/>
      </c>
      <c r="K167" s="22">
        <f>IF(H167="Attack",RANDBETWEEN(1,10),"")</f>
        <v/>
      </c>
      <c r="L167" s="22">
        <f>IF(H167="Attack", K167+IFERROR(SWITCH(XLOOKUP(I167,Catalog[Name],Catalog[AtkAttr]),"Force",XLOOKUP("The Knotsmen",FactionState[Faction],FactionState[Force]),"Cunning",XLOOKUP("The Knotsmen",FactionState[Faction],FactionState[Cunning]),"Wealth",XLOOKUP("The Knotsmen",FactionState[Faction],FactionState[Wealth]),"Magic",XLOOKUP("The Knotsmen",FactionState[Faction],FactionState[Magic]),0),0),"")</f>
        <v/>
      </c>
      <c r="M167" s="22">
        <f>IF(H167="Attack",RANDBETWEEN(1,10),"")</f>
        <v/>
      </c>
      <c r="N167" s="22">
        <f>IF(H167="Attack", M167+IFERROR(LET(def_fac, XLOOKUP(J167,Register[Asset],Register[Faction]),def_attr, XLOOKUP(I167,Catalog[Name],Catalog[DefAttr]),SWITCH(def_attr,"Force",XLOOKUP(def_fac,FactionState[Faction],FactionState[Force]),"Cunning",XLOOKUP(def_fac,FactionState[Faction],FactionState[Cunning]),"Wealth",XLOOKUP(def_fac,FactionState[Faction],FactionState[Wealth]),"Magic",XLOOKUP(def_fac,FactionState[Faction],FactionState[Magic]),0)),0),"")</f>
        <v/>
      </c>
      <c r="O167" s="22">
        <f>IF(H167&lt;&gt;"Attack","",IF(AND(ISNUMBER(L167),ISNUMBER(N167)),IF(L167&gt;N167,"Attacker","Defender"),""))</f>
        <v/>
      </c>
      <c r="P167" s="22">
        <f>IF(O167="Attacker",IFERROR(LET(nn,XLOOKUP(I167,Catalog[Name],Catalog[DmgN]),dd,XLOOKUP(I167,Catalog[Name],Catalog[DmgDie]),IF(dd=0,0,RANDBETWEEN(1,dd)+IF(nn&gt;=2,RANDBETWEEN(1,dd),0))),0),"")</f>
        <v/>
      </c>
      <c r="Q167" s="22">
        <f>IF(O167="Defender",IFERROR(LET(nn,XLOOKUP(J167,Catalog[Name],Catalog[CtrN]),dd,XLOOKUP(J167,Catalog[Name],Catalog[CtrDie]),IF(dd=0,0,RANDBETWEEN(1,dd)+IF(nn&gt;=2,RANDBETWEEN(1,dd),0))),0),"")</f>
        <v/>
      </c>
    </row>
    <row r="168">
      <c r="A168" s="20" t="n">
        <v>19</v>
      </c>
      <c r="B168" s="21" t="inlineStr">
        <is>
          <t>The Aelf-Adal</t>
        </is>
      </c>
      <c r="C168" s="22">
        <f>G159</f>
        <v/>
      </c>
      <c r="D168" s="22">
        <f>CEILING(XLOOKUP("The Aelf-Adal",FactionState[Faction],FactionState[Wealth])/2+XLOOKUP("The Aelf-Adal",FactionState[Faction],FactionState[Force])/4+XLOOKUP("The Aelf-Adal",FactionState[Faction],FactionState[Cunning])/4, 1)</f>
        <v/>
      </c>
      <c r="E168" s="22">
        <f>MAX(0,COUNTIFS(Register[Faction],"The Aelf-Adal",Register[Type],"Force")-XLOOKUP("The Aelf-Adal",FactionState[Faction],FactionState[Force]))+MAX(0,COUNTIFS(Register[Faction],"The Aelf-Adal",Register[Type],"Cunning")-XLOOKUP("The Aelf-Adal",FactionState[Faction],FactionState[Cunning]))+MAX(0,COUNTIFS(Register[Faction],"The Aelf-Adal",Register[Type],"Wealth")-XLOOKUP("The Aelf-Adal",FactionState[Faction],FactionState[Wealth]))+MAX(0,COUNTIFS(Register[Faction],"The Aelf-Adal",Register[Type],"Magic")-XLOOKUP("The Aelf-Adal",FactionState[Faction],FactionState[Magic]))</f>
        <v/>
      </c>
      <c r="F168" s="22">
        <f>IFERROR(VALUE('Action Sheet'!I167),0)</f>
        <v/>
      </c>
      <c r="G168" s="22">
        <f>C168+D168-E168-F168</f>
        <v/>
      </c>
      <c r="H168" s="22">
        <f>'Action Sheet'!D167</f>
        <v/>
      </c>
      <c r="I168" s="22">
        <f>'Action Sheet'!E167</f>
        <v/>
      </c>
      <c r="J168" s="22">
        <f>'Action Sheet'!H167</f>
        <v/>
      </c>
      <c r="K168" s="22">
        <f>IF(H168="Attack",RANDBETWEEN(1,10),"")</f>
        <v/>
      </c>
      <c r="L168" s="22">
        <f>IF(H168="Attack", K168+IFERROR(SWITCH(XLOOKUP(I168,Catalog[Name],Catalog[AtkAttr]),"Force",XLOOKUP("The Aelf-Adal",FactionState[Faction],FactionState[Force]),"Cunning",XLOOKUP("The Aelf-Adal",FactionState[Faction],FactionState[Cunning]),"Wealth",XLOOKUP("The Aelf-Adal",FactionState[Faction],FactionState[Wealth]),"Magic",XLOOKUP("The Aelf-Adal",FactionState[Faction],FactionState[Magic]),0),0),"")</f>
        <v/>
      </c>
      <c r="M168" s="22">
        <f>IF(H168="Attack",RANDBETWEEN(1,10),"")</f>
        <v/>
      </c>
      <c r="N168" s="22">
        <f>IF(H168="Attack", M168+IFERROR(LET(def_fac, XLOOKUP(J168,Register[Asset],Register[Faction]),def_attr, XLOOKUP(I168,Catalog[Name],Catalog[DefAttr]),SWITCH(def_attr,"Force",XLOOKUP(def_fac,FactionState[Faction],FactionState[Force]),"Cunning",XLOOKUP(def_fac,FactionState[Faction],FactionState[Cunning]),"Wealth",XLOOKUP(def_fac,FactionState[Faction],FactionState[Wealth]),"Magic",XLOOKUP(def_fac,FactionState[Faction],FactionState[Magic]),0)),0),"")</f>
        <v/>
      </c>
      <c r="O168" s="22">
        <f>IF(H168&lt;&gt;"Attack","",IF(AND(ISNUMBER(L168),ISNUMBER(N168)),IF(L168&gt;N168,"Attacker","Defender"),""))</f>
        <v/>
      </c>
      <c r="P168" s="22">
        <f>IF(O168="Attacker",IFERROR(LET(nn,XLOOKUP(I168,Catalog[Name],Catalog[DmgN]),dd,XLOOKUP(I168,Catalog[Name],Catalog[DmgDie]),IF(dd=0,0,RANDBETWEEN(1,dd)+IF(nn&gt;=2,RANDBETWEEN(1,dd),0))),0),"")</f>
        <v/>
      </c>
      <c r="Q168" s="22">
        <f>IF(O168="Defender",IFERROR(LET(nn,XLOOKUP(J168,Catalog[Name],Catalog[CtrN]),dd,XLOOKUP(J168,Catalog[Name],Catalog[CtrDie]),IF(dd=0,0,RANDBETWEEN(1,dd)+IF(nn&gt;=2,RANDBETWEEN(1,dd),0))),0),"")</f>
        <v/>
      </c>
    </row>
    <row r="169">
      <c r="A169" s="20" t="n">
        <v>19</v>
      </c>
      <c r="B169" s="21" t="inlineStr">
        <is>
          <t>The Funginids</t>
        </is>
      </c>
      <c r="C169" s="22">
        <f>G160</f>
        <v/>
      </c>
      <c r="D169" s="22">
        <f>CEILING(XLOOKUP("The Funginids",FactionState[Faction],FactionState[Wealth])/2+XLOOKUP("The Funginids",FactionState[Faction],FactionState[Force])/4+XLOOKUP("The Funginids",FactionState[Faction],FactionState[Cunning])/4, 1)</f>
        <v/>
      </c>
      <c r="E169" s="22">
        <f>MAX(0,COUNTIFS(Register[Faction],"The Funginids",Register[Type],"Force")-XLOOKUP("The Funginids",FactionState[Faction],FactionState[Force]))+MAX(0,COUNTIFS(Register[Faction],"The Funginids",Register[Type],"Cunning")-XLOOKUP("The Funginids",FactionState[Faction],FactionState[Cunning]))+MAX(0,COUNTIFS(Register[Faction],"The Funginids",Register[Type],"Wealth")-XLOOKUP("The Funginids",FactionState[Faction],FactionState[Wealth]))+MAX(0,COUNTIFS(Register[Faction],"The Funginids",Register[Type],"Magic")-XLOOKUP("The Funginids",FactionState[Faction],FactionState[Magic]))</f>
        <v/>
      </c>
      <c r="F169" s="22">
        <f>IFERROR(VALUE('Action Sheet'!I168),0)</f>
        <v/>
      </c>
      <c r="G169" s="22">
        <f>C169+D169-E169-F169</f>
        <v/>
      </c>
      <c r="H169" s="22">
        <f>'Action Sheet'!D168</f>
        <v/>
      </c>
      <c r="I169" s="22">
        <f>'Action Sheet'!E168</f>
        <v/>
      </c>
      <c r="J169" s="22">
        <f>'Action Sheet'!H168</f>
        <v/>
      </c>
      <c r="K169" s="22">
        <f>IF(H169="Attack",RANDBETWEEN(1,10),"")</f>
        <v/>
      </c>
      <c r="L169" s="22">
        <f>IF(H169="Attack", K169+IFERROR(SWITCH(XLOOKUP(I169,Catalog[Name],Catalog[AtkAttr]),"Force",XLOOKUP("The Funginids",FactionState[Faction],FactionState[Force]),"Cunning",XLOOKUP("The Funginids",FactionState[Faction],FactionState[Cunning]),"Wealth",XLOOKUP("The Funginids",FactionState[Faction],FactionState[Wealth]),"Magic",XLOOKUP("The Funginids",FactionState[Faction],FactionState[Magic]),0),0),"")</f>
        <v/>
      </c>
      <c r="M169" s="22">
        <f>IF(H169="Attack",RANDBETWEEN(1,10),"")</f>
        <v/>
      </c>
      <c r="N169" s="22">
        <f>IF(H169="Attack", M169+IFERROR(LET(def_fac, XLOOKUP(J169,Register[Asset],Register[Faction]),def_attr, XLOOKUP(I169,Catalog[Name],Catalog[DefAttr]),SWITCH(def_attr,"Force",XLOOKUP(def_fac,FactionState[Faction],FactionState[Force]),"Cunning",XLOOKUP(def_fac,FactionState[Faction],FactionState[Cunning]),"Wealth",XLOOKUP(def_fac,FactionState[Faction],FactionState[Wealth]),"Magic",XLOOKUP(def_fac,FactionState[Faction],FactionState[Magic]),0)),0),"")</f>
        <v/>
      </c>
      <c r="O169" s="22">
        <f>IF(H169&lt;&gt;"Attack","",IF(AND(ISNUMBER(L169),ISNUMBER(N169)),IF(L169&gt;N169,"Attacker","Defender"),""))</f>
        <v/>
      </c>
      <c r="P169" s="22">
        <f>IF(O169="Attacker",IFERROR(LET(nn,XLOOKUP(I169,Catalog[Name],Catalog[DmgN]),dd,XLOOKUP(I169,Catalog[Name],Catalog[DmgDie]),IF(dd=0,0,RANDBETWEEN(1,dd)+IF(nn&gt;=2,RANDBETWEEN(1,dd),0))),0),"")</f>
        <v/>
      </c>
      <c r="Q169" s="22">
        <f>IF(O169="Defender",IFERROR(LET(nn,XLOOKUP(J169,Catalog[Name],Catalog[CtrN]),dd,XLOOKUP(J169,Catalog[Name],Catalog[CtrDie]),IF(dd=0,0,RANDBETWEEN(1,dd)+IF(nn&gt;=2,RANDBETWEEN(1,dd),0))),0),"")</f>
        <v/>
      </c>
    </row>
    <row r="170">
      <c r="A170" s="20" t="n">
        <v>19</v>
      </c>
      <c r="B170" s="21" t="inlineStr">
        <is>
          <t>The dErO</t>
        </is>
      </c>
      <c r="C170" s="22">
        <f>G161</f>
        <v/>
      </c>
      <c r="D170" s="22">
        <f>CEILING(XLOOKUP("The dErO",FactionState[Faction],FactionState[Wealth])/2+XLOOKUP("The dErO",FactionState[Faction],FactionState[Force])/4+XLOOKUP("The dErO",FactionState[Faction],FactionState[Cunning])/4, 1)</f>
        <v/>
      </c>
      <c r="E170" s="22">
        <f>MAX(0,COUNTIFS(Register[Faction],"The dErO",Register[Type],"Force")-XLOOKUP("The dErO",FactionState[Faction],FactionState[Force]))+MAX(0,COUNTIFS(Register[Faction],"The dErO",Register[Type],"Cunning")-XLOOKUP("The dErO",FactionState[Faction],FactionState[Cunning]))+MAX(0,COUNTIFS(Register[Faction],"The dErO",Register[Type],"Wealth")-XLOOKUP("The dErO",FactionState[Faction],FactionState[Wealth]))+MAX(0,COUNTIFS(Register[Faction],"The dErO",Register[Type],"Magic")-XLOOKUP("The dErO",FactionState[Faction],FactionState[Magic]))</f>
        <v/>
      </c>
      <c r="F170" s="22">
        <f>IFERROR(VALUE('Action Sheet'!I169),0)</f>
        <v/>
      </c>
      <c r="G170" s="22">
        <f>C170+D170-E170-F170</f>
        <v/>
      </c>
      <c r="H170" s="22">
        <f>'Action Sheet'!D169</f>
        <v/>
      </c>
      <c r="I170" s="22">
        <f>'Action Sheet'!E169</f>
        <v/>
      </c>
      <c r="J170" s="22">
        <f>'Action Sheet'!H169</f>
        <v/>
      </c>
      <c r="K170" s="22">
        <f>IF(H170="Attack",RANDBETWEEN(1,10),"")</f>
        <v/>
      </c>
      <c r="L170" s="22">
        <f>IF(H170="Attack", K170+IFERROR(SWITCH(XLOOKUP(I170,Catalog[Name],Catalog[AtkAttr]),"Force",XLOOKUP("The dErO",FactionState[Faction],FactionState[Force]),"Cunning",XLOOKUP("The dErO",FactionState[Faction],FactionState[Cunning]),"Wealth",XLOOKUP("The dErO",FactionState[Faction],FactionState[Wealth]),"Magic",XLOOKUP("The dErO",FactionState[Faction],FactionState[Magic]),0),0),"")</f>
        <v/>
      </c>
      <c r="M170" s="22">
        <f>IF(H170="Attack",RANDBETWEEN(1,10),"")</f>
        <v/>
      </c>
      <c r="N170" s="22">
        <f>IF(H170="Attack", M170+IFERROR(LET(def_fac, XLOOKUP(J170,Register[Asset],Register[Faction]),def_attr, XLOOKUP(I170,Catalog[Name],Catalog[DefAttr]),SWITCH(def_attr,"Force",XLOOKUP(def_fac,FactionState[Faction],FactionState[Force]),"Cunning",XLOOKUP(def_fac,FactionState[Faction],FactionState[Cunning]),"Wealth",XLOOKUP(def_fac,FactionState[Faction],FactionState[Wealth]),"Magic",XLOOKUP(def_fac,FactionState[Faction],FactionState[Magic]),0)),0),"")</f>
        <v/>
      </c>
      <c r="O170" s="22">
        <f>IF(H170&lt;&gt;"Attack","",IF(AND(ISNUMBER(L170),ISNUMBER(N170)),IF(L170&gt;N170,"Attacker","Defender"),""))</f>
        <v/>
      </c>
      <c r="P170" s="22">
        <f>IF(O170="Attacker",IFERROR(LET(nn,XLOOKUP(I170,Catalog[Name],Catalog[DmgN]),dd,XLOOKUP(I170,Catalog[Name],Catalog[DmgDie]),IF(dd=0,0,RANDBETWEEN(1,dd)+IF(nn&gt;=2,RANDBETWEEN(1,dd),0))),0),"")</f>
        <v/>
      </c>
      <c r="Q170" s="22">
        <f>IF(O170="Defender",IFERROR(LET(nn,XLOOKUP(J170,Catalog[Name],Catalog[CtrN]),dd,XLOOKUP(J170,Catalog[Name],Catalog[CtrDie]),IF(dd=0,0,RANDBETWEEN(1,dd)+IF(nn&gt;=2,RANDBETWEEN(1,dd),0))),0),"")</f>
        <v/>
      </c>
    </row>
    <row r="171">
      <c r="A171" s="20" t="n">
        <v>19</v>
      </c>
      <c r="B171" s="21" t="inlineStr">
        <is>
          <t>The Dvargir</t>
        </is>
      </c>
      <c r="C171" s="22">
        <f>G162</f>
        <v/>
      </c>
      <c r="D171" s="22">
        <f>CEILING(XLOOKUP("The Dvargir",FactionState[Faction],FactionState[Wealth])/2+XLOOKUP("The Dvargir",FactionState[Faction],FactionState[Force])/4+XLOOKUP("The Dvargir",FactionState[Faction],FactionState[Cunning])/4, 1)</f>
        <v/>
      </c>
      <c r="E171" s="22">
        <f>MAX(0,COUNTIFS(Register[Faction],"The Dvargir",Register[Type],"Force")-XLOOKUP("The Dvargir",FactionState[Faction],FactionState[Force]))+MAX(0,COUNTIFS(Register[Faction],"The Dvargir",Register[Type],"Cunning")-XLOOKUP("The Dvargir",FactionState[Faction],FactionState[Cunning]))+MAX(0,COUNTIFS(Register[Faction],"The Dvargir",Register[Type],"Wealth")-XLOOKUP("The Dvargir",FactionState[Faction],FactionState[Wealth]))+MAX(0,COUNTIFS(Register[Faction],"The Dvargir",Register[Type],"Magic")-XLOOKUP("The Dvargir",FactionState[Faction],FactionState[Magic]))</f>
        <v/>
      </c>
      <c r="F171" s="22">
        <f>IFERROR(VALUE('Action Sheet'!I170),0)</f>
        <v/>
      </c>
      <c r="G171" s="22">
        <f>C171+D171-E171-F171</f>
        <v/>
      </c>
      <c r="H171" s="22">
        <f>'Action Sheet'!D170</f>
        <v/>
      </c>
      <c r="I171" s="22">
        <f>'Action Sheet'!E170</f>
        <v/>
      </c>
      <c r="J171" s="22">
        <f>'Action Sheet'!H170</f>
        <v/>
      </c>
      <c r="K171" s="22">
        <f>IF(H171="Attack",RANDBETWEEN(1,10),"")</f>
        <v/>
      </c>
      <c r="L171" s="22">
        <f>IF(H171="Attack", K171+IFERROR(SWITCH(XLOOKUP(I171,Catalog[Name],Catalog[AtkAttr]),"Force",XLOOKUP("The Dvargir",FactionState[Faction],FactionState[Force]),"Cunning",XLOOKUP("The Dvargir",FactionState[Faction],FactionState[Cunning]),"Wealth",XLOOKUP("The Dvargir",FactionState[Faction],FactionState[Wealth]),"Magic",XLOOKUP("The Dvargir",FactionState[Faction],FactionState[Magic]),0),0),"")</f>
        <v/>
      </c>
      <c r="M171" s="22">
        <f>IF(H171="Attack",RANDBETWEEN(1,10),"")</f>
        <v/>
      </c>
      <c r="N171" s="22">
        <f>IF(H171="Attack", M171+IFERROR(LET(def_fac, XLOOKUP(J171,Register[Asset],Register[Faction]),def_attr, XLOOKUP(I171,Catalog[Name],Catalog[DefAttr]),SWITCH(def_attr,"Force",XLOOKUP(def_fac,FactionState[Faction],FactionState[Force]),"Cunning",XLOOKUP(def_fac,FactionState[Faction],FactionState[Cunning]),"Wealth",XLOOKUP(def_fac,FactionState[Faction],FactionState[Wealth]),"Magic",XLOOKUP(def_fac,FactionState[Faction],FactionState[Magic]),0)),0),"")</f>
        <v/>
      </c>
      <c r="O171" s="22">
        <f>IF(H171&lt;&gt;"Attack","",IF(AND(ISNUMBER(L171),ISNUMBER(N171)),IF(L171&gt;N171,"Attacker","Defender"),""))</f>
        <v/>
      </c>
      <c r="P171" s="22">
        <f>IF(O171="Attacker",IFERROR(LET(nn,XLOOKUP(I171,Catalog[Name],Catalog[DmgN]),dd,XLOOKUP(I171,Catalog[Name],Catalog[DmgDie]),IF(dd=0,0,RANDBETWEEN(1,dd)+IF(nn&gt;=2,RANDBETWEEN(1,dd),0))),0),"")</f>
        <v/>
      </c>
      <c r="Q171" s="22">
        <f>IF(O171="Defender",IFERROR(LET(nn,XLOOKUP(J171,Catalog[Name],Catalog[CtrN]),dd,XLOOKUP(J171,Catalog[Name],Catalog[CtrDie]),IF(dd=0,0,RANDBETWEEN(1,dd)+IF(nn&gt;=2,RANDBETWEEN(1,dd),0))),0),"")</f>
        <v/>
      </c>
    </row>
    <row r="172">
      <c r="A172" s="20" t="n">
        <v>19</v>
      </c>
      <c r="B172" s="21" t="inlineStr">
        <is>
          <t>The Gnonmen</t>
        </is>
      </c>
      <c r="C172" s="22">
        <f>G163</f>
        <v/>
      </c>
      <c r="D172" s="22">
        <f>CEILING(XLOOKUP("The Gnonmen",FactionState[Faction],FactionState[Wealth])/2+XLOOKUP("The Gnonmen",FactionState[Faction],FactionState[Force])/4+XLOOKUP("The Gnonmen",FactionState[Faction],FactionState[Cunning])/4, 1)</f>
        <v/>
      </c>
      <c r="E172" s="22">
        <f>MAX(0,COUNTIFS(Register[Faction],"The Gnonmen",Register[Type],"Force")-XLOOKUP("The Gnonmen",FactionState[Faction],FactionState[Force]))+MAX(0,COUNTIFS(Register[Faction],"The Gnonmen",Register[Type],"Cunning")-XLOOKUP("The Gnonmen",FactionState[Faction],FactionState[Cunning]))+MAX(0,COUNTIFS(Register[Faction],"The Gnonmen",Register[Type],"Wealth")-XLOOKUP("The Gnonmen",FactionState[Faction],FactionState[Wealth]))+MAX(0,COUNTIFS(Register[Faction],"The Gnonmen",Register[Type],"Magic")-XLOOKUP("The Gnonmen",FactionState[Faction],FactionState[Magic]))</f>
        <v/>
      </c>
      <c r="F172" s="22">
        <f>IFERROR(VALUE('Action Sheet'!I171),0)</f>
        <v/>
      </c>
      <c r="G172" s="22">
        <f>C172+D172-E172-F172</f>
        <v/>
      </c>
      <c r="H172" s="22">
        <f>'Action Sheet'!D171</f>
        <v/>
      </c>
      <c r="I172" s="22">
        <f>'Action Sheet'!E171</f>
        <v/>
      </c>
      <c r="J172" s="22">
        <f>'Action Sheet'!H171</f>
        <v/>
      </c>
      <c r="K172" s="22">
        <f>IF(H172="Attack",RANDBETWEEN(1,10),"")</f>
        <v/>
      </c>
      <c r="L172" s="22">
        <f>IF(H172="Attack", K172+IFERROR(SWITCH(XLOOKUP(I172,Catalog[Name],Catalog[AtkAttr]),"Force",XLOOKUP("The Gnonmen",FactionState[Faction],FactionState[Force]),"Cunning",XLOOKUP("The Gnonmen",FactionState[Faction],FactionState[Cunning]),"Wealth",XLOOKUP("The Gnonmen",FactionState[Faction],FactionState[Wealth]),"Magic",XLOOKUP("The Gnonmen",FactionState[Faction],FactionState[Magic]),0),0),"")</f>
        <v/>
      </c>
      <c r="M172" s="22">
        <f>IF(H172="Attack",RANDBETWEEN(1,10),"")</f>
        <v/>
      </c>
      <c r="N172" s="22">
        <f>IF(H172="Attack", M172+IFERROR(LET(def_fac, XLOOKUP(J172,Register[Asset],Register[Faction]),def_attr, XLOOKUP(I172,Catalog[Name],Catalog[DefAttr]),SWITCH(def_attr,"Force",XLOOKUP(def_fac,FactionState[Faction],FactionState[Force]),"Cunning",XLOOKUP(def_fac,FactionState[Faction],FactionState[Cunning]),"Wealth",XLOOKUP(def_fac,FactionState[Faction],FactionState[Wealth]),"Magic",XLOOKUP(def_fac,FactionState[Faction],FactionState[Magic]),0)),0),"")</f>
        <v/>
      </c>
      <c r="O172" s="22">
        <f>IF(H172&lt;&gt;"Attack","",IF(AND(ISNUMBER(L172),ISNUMBER(N172)),IF(L172&gt;N172,"Attacker","Defender"),""))</f>
        <v/>
      </c>
      <c r="P172" s="22">
        <f>IF(O172="Attacker",IFERROR(LET(nn,XLOOKUP(I172,Catalog[Name],Catalog[DmgN]),dd,XLOOKUP(I172,Catalog[Name],Catalog[DmgDie]),IF(dd=0,0,RANDBETWEEN(1,dd)+IF(nn&gt;=2,RANDBETWEEN(1,dd),0))),0),"")</f>
        <v/>
      </c>
      <c r="Q172" s="22">
        <f>IF(O172="Defender",IFERROR(LET(nn,XLOOKUP(J172,Catalog[Name],Catalog[CtrN]),dd,XLOOKUP(J172,Catalog[Name],Catalog[CtrDie]),IF(dd=0,0,RANDBETWEEN(1,dd)+IF(nn&gt;=2,RANDBETWEEN(1,dd),0))),0),"")</f>
        <v/>
      </c>
    </row>
    <row r="173">
      <c r="A173" s="20" t="n">
        <v>19</v>
      </c>
      <c r="B173" s="21" t="inlineStr">
        <is>
          <t>The Substratals</t>
        </is>
      </c>
      <c r="C173" s="22">
        <f>G164</f>
        <v/>
      </c>
      <c r="D173" s="22">
        <f>CEILING(XLOOKUP("The Substratals",FactionState[Faction],FactionState[Wealth])/2+XLOOKUP("The Substratals",FactionState[Faction],FactionState[Force])/4+XLOOKUP("The Substratals",FactionState[Faction],FactionState[Cunning])/4, 1)</f>
        <v/>
      </c>
      <c r="E173" s="22">
        <f>MAX(0,COUNTIFS(Register[Faction],"The Substratals",Register[Type],"Force")-XLOOKUP("The Substratals",FactionState[Faction],FactionState[Force]))+MAX(0,COUNTIFS(Register[Faction],"The Substratals",Register[Type],"Cunning")-XLOOKUP("The Substratals",FactionState[Faction],FactionState[Cunning]))+MAX(0,COUNTIFS(Register[Faction],"The Substratals",Register[Type],"Wealth")-XLOOKUP("The Substratals",FactionState[Faction],FactionState[Wealth]))+MAX(0,COUNTIFS(Register[Faction],"The Substratals",Register[Type],"Magic")-XLOOKUP("The Substratals",FactionState[Faction],FactionState[Magic]))</f>
        <v/>
      </c>
      <c r="F173" s="22">
        <f>IFERROR(VALUE('Action Sheet'!I172),0)</f>
        <v/>
      </c>
      <c r="G173" s="22">
        <f>C173+D173-E173-F173</f>
        <v/>
      </c>
      <c r="H173" s="22">
        <f>'Action Sheet'!D172</f>
        <v/>
      </c>
      <c r="I173" s="22">
        <f>'Action Sheet'!E172</f>
        <v/>
      </c>
      <c r="J173" s="22">
        <f>'Action Sheet'!H172</f>
        <v/>
      </c>
      <c r="K173" s="22">
        <f>IF(H173="Attack",RANDBETWEEN(1,10),"")</f>
        <v/>
      </c>
      <c r="L173" s="22">
        <f>IF(H173="Attack", K173+IFERROR(SWITCH(XLOOKUP(I173,Catalog[Name],Catalog[AtkAttr]),"Force",XLOOKUP("The Substratals",FactionState[Faction],FactionState[Force]),"Cunning",XLOOKUP("The Substratals",FactionState[Faction],FactionState[Cunning]),"Wealth",XLOOKUP("The Substratals",FactionState[Faction],FactionState[Wealth]),"Magic",XLOOKUP("The Substratals",FactionState[Faction],FactionState[Magic]),0),0),"")</f>
        <v/>
      </c>
      <c r="M173" s="22">
        <f>IF(H173="Attack",RANDBETWEEN(1,10),"")</f>
        <v/>
      </c>
      <c r="N173" s="22">
        <f>IF(H173="Attack", M173+IFERROR(LET(def_fac, XLOOKUP(J173,Register[Asset],Register[Faction]),def_attr, XLOOKUP(I173,Catalog[Name],Catalog[DefAttr]),SWITCH(def_attr,"Force",XLOOKUP(def_fac,FactionState[Faction],FactionState[Force]),"Cunning",XLOOKUP(def_fac,FactionState[Faction],FactionState[Cunning]),"Wealth",XLOOKUP(def_fac,FactionState[Faction],FactionState[Wealth]),"Magic",XLOOKUP(def_fac,FactionState[Faction],FactionState[Magic]),0)),0),"")</f>
        <v/>
      </c>
      <c r="O173" s="22">
        <f>IF(H173&lt;&gt;"Attack","",IF(AND(ISNUMBER(L173),ISNUMBER(N173)),IF(L173&gt;N173,"Attacker","Defender"),""))</f>
        <v/>
      </c>
      <c r="P173" s="22">
        <f>IF(O173="Attacker",IFERROR(LET(nn,XLOOKUP(I173,Catalog[Name],Catalog[DmgN]),dd,XLOOKUP(I173,Catalog[Name],Catalog[DmgDie]),IF(dd=0,0,RANDBETWEEN(1,dd)+IF(nn&gt;=2,RANDBETWEEN(1,dd),0))),0),"")</f>
        <v/>
      </c>
      <c r="Q173" s="22">
        <f>IF(O173="Defender",IFERROR(LET(nn,XLOOKUP(J173,Catalog[Name],Catalog[CtrN]),dd,XLOOKUP(J173,Catalog[Name],Catalog[CtrDie]),IF(dd=0,0,RANDBETWEEN(1,dd)+IF(nn&gt;=2,RANDBETWEEN(1,dd),0))),0),"")</f>
        <v/>
      </c>
    </row>
    <row r="174">
      <c r="A174" s="20" t="n">
        <v>19</v>
      </c>
      <c r="B174" s="21" t="inlineStr">
        <is>
          <t>The Deep Janeen</t>
        </is>
      </c>
      <c r="C174" s="22">
        <f>G165</f>
        <v/>
      </c>
      <c r="D174" s="22">
        <f>CEILING(XLOOKUP("The Deep Janeen",FactionState[Faction],FactionState[Wealth])/2+XLOOKUP("The Deep Janeen",FactionState[Faction],FactionState[Force])/4+XLOOKUP("The Deep Janeen",FactionState[Faction],FactionState[Cunning])/4, 1)</f>
        <v/>
      </c>
      <c r="E174" s="22">
        <f>MAX(0,COUNTIFS(Register[Faction],"The Deep Janeen",Register[Type],"Force")-XLOOKUP("The Deep Janeen",FactionState[Faction],FactionState[Force]))+MAX(0,COUNTIFS(Register[Faction],"The Deep Janeen",Register[Type],"Cunning")-XLOOKUP("The Deep Janeen",FactionState[Faction],FactionState[Cunning]))+MAX(0,COUNTIFS(Register[Faction],"The Deep Janeen",Register[Type],"Wealth")-XLOOKUP("The Deep Janeen",FactionState[Faction],FactionState[Wealth]))+MAX(0,COUNTIFS(Register[Faction],"The Deep Janeen",Register[Type],"Magic")-XLOOKUP("The Deep Janeen",FactionState[Faction],FactionState[Magic]))</f>
        <v/>
      </c>
      <c r="F174" s="22">
        <f>IFERROR(VALUE('Action Sheet'!I173),0)</f>
        <v/>
      </c>
      <c r="G174" s="22">
        <f>C174+D174-E174-F174</f>
        <v/>
      </c>
      <c r="H174" s="22">
        <f>'Action Sheet'!D173</f>
        <v/>
      </c>
      <c r="I174" s="22">
        <f>'Action Sheet'!E173</f>
        <v/>
      </c>
      <c r="J174" s="22">
        <f>'Action Sheet'!H173</f>
        <v/>
      </c>
      <c r="K174" s="22">
        <f>IF(H174="Attack",RANDBETWEEN(1,10),"")</f>
        <v/>
      </c>
      <c r="L174" s="22">
        <f>IF(H174="Attack", K174+IFERROR(SWITCH(XLOOKUP(I174,Catalog[Name],Catalog[AtkAttr]),"Force",XLOOKUP("The Deep Janeen",FactionState[Faction],FactionState[Force]),"Cunning",XLOOKUP("The Deep Janeen",FactionState[Faction],FactionState[Cunning]),"Wealth",XLOOKUP("The Deep Janeen",FactionState[Faction],FactionState[Wealth]),"Magic",XLOOKUP("The Deep Janeen",FactionState[Faction],FactionState[Magic]),0),0),"")</f>
        <v/>
      </c>
      <c r="M174" s="22">
        <f>IF(H174="Attack",RANDBETWEEN(1,10),"")</f>
        <v/>
      </c>
      <c r="N174" s="22">
        <f>IF(H174="Attack", M174+IFERROR(LET(def_fac, XLOOKUP(J174,Register[Asset],Register[Faction]),def_attr, XLOOKUP(I174,Catalog[Name],Catalog[DefAttr]),SWITCH(def_attr,"Force",XLOOKUP(def_fac,FactionState[Faction],FactionState[Force]),"Cunning",XLOOKUP(def_fac,FactionState[Faction],FactionState[Cunning]),"Wealth",XLOOKUP(def_fac,FactionState[Faction],FactionState[Wealth]),"Magic",XLOOKUP(def_fac,FactionState[Faction],FactionState[Magic]),0)),0),"")</f>
        <v/>
      </c>
      <c r="O174" s="22">
        <f>IF(H174&lt;&gt;"Attack","",IF(AND(ISNUMBER(L174),ISNUMBER(N174)),IF(L174&gt;N174,"Attacker","Defender"),""))</f>
        <v/>
      </c>
      <c r="P174" s="22">
        <f>IF(O174="Attacker",IFERROR(LET(nn,XLOOKUP(I174,Catalog[Name],Catalog[DmgN]),dd,XLOOKUP(I174,Catalog[Name],Catalog[DmgDie]),IF(dd=0,0,RANDBETWEEN(1,dd)+IF(nn&gt;=2,RANDBETWEEN(1,dd),0))),0),"")</f>
        <v/>
      </c>
      <c r="Q174" s="22">
        <f>IF(O174="Defender",IFERROR(LET(nn,XLOOKUP(J174,Catalog[Name],Catalog[CtrN]),dd,XLOOKUP(J174,Catalog[Name],Catalog[CtrDie]),IF(dd=0,0,RANDBETWEEN(1,dd)+IF(nn&gt;=2,RANDBETWEEN(1,dd),0))),0),"")</f>
        <v/>
      </c>
    </row>
    <row r="175">
      <c r="A175" s="20" t="n">
        <v>19</v>
      </c>
      <c r="B175" s="21" t="inlineStr">
        <is>
          <t>The Olm</t>
        </is>
      </c>
      <c r="C175" s="22">
        <f>G166</f>
        <v/>
      </c>
      <c r="D175" s="22">
        <f>CEILING(XLOOKUP("The Olm",FactionState[Faction],FactionState[Wealth])/2+XLOOKUP("The Olm",FactionState[Faction],FactionState[Force])/4+XLOOKUP("The Olm",FactionState[Faction],FactionState[Cunning])/4, 1)</f>
        <v/>
      </c>
      <c r="E175" s="22">
        <f>MAX(0,COUNTIFS(Register[Faction],"The Olm",Register[Type],"Force")-XLOOKUP("The Olm",FactionState[Faction],FactionState[Force]))+MAX(0,COUNTIFS(Register[Faction],"The Olm",Register[Type],"Cunning")-XLOOKUP("The Olm",FactionState[Faction],FactionState[Cunning]))+MAX(0,COUNTIFS(Register[Faction],"The Olm",Register[Type],"Wealth")-XLOOKUP("The Olm",FactionState[Faction],FactionState[Wealth]))+MAX(0,COUNTIFS(Register[Faction],"The Olm",Register[Type],"Magic")-XLOOKUP("The Olm",FactionState[Faction],FactionState[Magic]))</f>
        <v/>
      </c>
      <c r="F175" s="22">
        <f>IFERROR(VALUE('Action Sheet'!I174),0)</f>
        <v/>
      </c>
      <c r="G175" s="22">
        <f>C175+D175-E175-F175</f>
        <v/>
      </c>
      <c r="H175" s="22">
        <f>'Action Sheet'!D174</f>
        <v/>
      </c>
      <c r="I175" s="22">
        <f>'Action Sheet'!E174</f>
        <v/>
      </c>
      <c r="J175" s="22">
        <f>'Action Sheet'!H174</f>
        <v/>
      </c>
      <c r="K175" s="22">
        <f>IF(H175="Attack",RANDBETWEEN(1,10),"")</f>
        <v/>
      </c>
      <c r="L175" s="22">
        <f>IF(H175="Attack", K175+IFERROR(SWITCH(XLOOKUP(I175,Catalog[Name],Catalog[AtkAttr]),"Force",XLOOKUP("The Olm",FactionState[Faction],FactionState[Force]),"Cunning",XLOOKUP("The Olm",FactionState[Faction],FactionState[Cunning]),"Wealth",XLOOKUP("The Olm",FactionState[Faction],FactionState[Wealth]),"Magic",XLOOKUP("The Olm",FactionState[Faction],FactionState[Magic]),0),0),"")</f>
        <v/>
      </c>
      <c r="M175" s="22">
        <f>IF(H175="Attack",RANDBETWEEN(1,10),"")</f>
        <v/>
      </c>
      <c r="N175" s="22">
        <f>IF(H175="Attack", M175+IFERROR(LET(def_fac, XLOOKUP(J175,Register[Asset],Register[Faction]),def_attr, XLOOKUP(I175,Catalog[Name],Catalog[DefAttr]),SWITCH(def_attr,"Force",XLOOKUP(def_fac,FactionState[Faction],FactionState[Force]),"Cunning",XLOOKUP(def_fac,FactionState[Faction],FactionState[Cunning]),"Wealth",XLOOKUP(def_fac,FactionState[Faction],FactionState[Wealth]),"Magic",XLOOKUP(def_fac,FactionState[Faction],FactionState[Magic]),0)),0),"")</f>
        <v/>
      </c>
      <c r="O175" s="22">
        <f>IF(H175&lt;&gt;"Attack","",IF(AND(ISNUMBER(L175),ISNUMBER(N175)),IF(L175&gt;N175,"Attacker","Defender"),""))</f>
        <v/>
      </c>
      <c r="P175" s="22">
        <f>IF(O175="Attacker",IFERROR(LET(nn,XLOOKUP(I175,Catalog[Name],Catalog[DmgN]),dd,XLOOKUP(I175,Catalog[Name],Catalog[DmgDie]),IF(dd=0,0,RANDBETWEEN(1,dd)+IF(nn&gt;=2,RANDBETWEEN(1,dd),0))),0),"")</f>
        <v/>
      </c>
      <c r="Q175" s="22">
        <f>IF(O175="Defender",IFERROR(LET(nn,XLOOKUP(J175,Catalog[Name],Catalog[CtrN]),dd,XLOOKUP(J175,Catalog[Name],Catalog[CtrDie]),IF(dd=0,0,RANDBETWEEN(1,dd)+IF(nn&gt;=2,RANDBETWEEN(1,dd),0))),0),"")</f>
        <v/>
      </c>
    </row>
    <row r="176">
      <c r="A176" s="23" t="n">
        <v>20</v>
      </c>
      <c r="B176" s="24" t="inlineStr">
        <is>
          <t>The Knotsmen</t>
        </is>
      </c>
      <c r="C176" s="25">
        <f>G167</f>
        <v/>
      </c>
      <c r="D176" s="25">
        <f>CEILING(XLOOKUP("The Knotsmen",FactionState[Faction],FactionState[Wealth])/2+XLOOKUP("The Knotsmen",FactionState[Faction],FactionState[Force])/4+XLOOKUP("The Knotsmen",FactionState[Faction],FactionState[Cunning])/4, 1)</f>
        <v/>
      </c>
      <c r="E176" s="25">
        <f>MAX(0,COUNTIFS(Register[Faction],"The Knotsmen",Register[Type],"Force")-XLOOKUP("The Knotsmen",FactionState[Faction],FactionState[Force]))+MAX(0,COUNTIFS(Register[Faction],"The Knotsmen",Register[Type],"Cunning")-XLOOKUP("The Knotsmen",FactionState[Faction],FactionState[Cunning]))+MAX(0,COUNTIFS(Register[Faction],"The Knotsmen",Register[Type],"Wealth")-XLOOKUP("The Knotsmen",FactionState[Faction],FactionState[Wealth]))+MAX(0,COUNTIFS(Register[Faction],"The Knotsmen",Register[Type],"Magic")-XLOOKUP("The Knotsmen",FactionState[Faction],FactionState[Magic]))</f>
        <v/>
      </c>
      <c r="F176" s="25">
        <f>IFERROR(VALUE('Action Sheet'!I175),0)</f>
        <v/>
      </c>
      <c r="G176" s="25">
        <f>C176+D176-E176-F176</f>
        <v/>
      </c>
      <c r="H176" s="25">
        <f>'Action Sheet'!D175</f>
        <v/>
      </c>
      <c r="I176" s="25">
        <f>'Action Sheet'!E175</f>
        <v/>
      </c>
      <c r="J176" s="25">
        <f>'Action Sheet'!H175</f>
        <v/>
      </c>
      <c r="K176" s="25">
        <f>IF(H176="Attack",RANDBETWEEN(1,10),"")</f>
        <v/>
      </c>
      <c r="L176" s="25">
        <f>IF(H176="Attack", K176+IFERROR(SWITCH(XLOOKUP(I176,Catalog[Name],Catalog[AtkAttr]),"Force",XLOOKUP("The Knotsmen",FactionState[Faction],FactionState[Force]),"Cunning",XLOOKUP("The Knotsmen",FactionState[Faction],FactionState[Cunning]),"Wealth",XLOOKUP("The Knotsmen",FactionState[Faction],FactionState[Wealth]),"Magic",XLOOKUP("The Knotsmen",FactionState[Faction],FactionState[Magic]),0),0),"")</f>
        <v/>
      </c>
      <c r="M176" s="25">
        <f>IF(H176="Attack",RANDBETWEEN(1,10),"")</f>
        <v/>
      </c>
      <c r="N176" s="25">
        <f>IF(H176="Attack", M176+IFERROR(LET(def_fac, XLOOKUP(J176,Register[Asset],Register[Faction]),def_attr, XLOOKUP(I176,Catalog[Name],Catalog[DefAttr]),SWITCH(def_attr,"Force",XLOOKUP(def_fac,FactionState[Faction],FactionState[Force]),"Cunning",XLOOKUP(def_fac,FactionState[Faction],FactionState[Cunning]),"Wealth",XLOOKUP(def_fac,FactionState[Faction],FactionState[Wealth]),"Magic",XLOOKUP(def_fac,FactionState[Faction],FactionState[Magic]),0)),0),"")</f>
        <v/>
      </c>
      <c r="O176" s="25">
        <f>IF(H176&lt;&gt;"Attack","",IF(AND(ISNUMBER(L176),ISNUMBER(N176)),IF(L176&gt;N176,"Attacker","Defender"),""))</f>
        <v/>
      </c>
      <c r="P176" s="25">
        <f>IF(O176="Attacker",IFERROR(LET(nn,XLOOKUP(I176,Catalog[Name],Catalog[DmgN]),dd,XLOOKUP(I176,Catalog[Name],Catalog[DmgDie]),IF(dd=0,0,RANDBETWEEN(1,dd)+IF(nn&gt;=2,RANDBETWEEN(1,dd),0))),0),"")</f>
        <v/>
      </c>
      <c r="Q176" s="25">
        <f>IF(O176="Defender",IFERROR(LET(nn,XLOOKUP(J176,Catalog[Name],Catalog[CtrN]),dd,XLOOKUP(J176,Catalog[Name],Catalog[CtrDie]),IF(dd=0,0,RANDBETWEEN(1,dd)+IF(nn&gt;=2,RANDBETWEEN(1,dd),0))),0),"")</f>
        <v/>
      </c>
    </row>
    <row r="177">
      <c r="A177" s="23" t="n">
        <v>20</v>
      </c>
      <c r="B177" s="24" t="inlineStr">
        <is>
          <t>The Aelf-Adal</t>
        </is>
      </c>
      <c r="C177" s="25">
        <f>G168</f>
        <v/>
      </c>
      <c r="D177" s="25">
        <f>CEILING(XLOOKUP("The Aelf-Adal",FactionState[Faction],FactionState[Wealth])/2+XLOOKUP("The Aelf-Adal",FactionState[Faction],FactionState[Force])/4+XLOOKUP("The Aelf-Adal",FactionState[Faction],FactionState[Cunning])/4, 1)</f>
        <v/>
      </c>
      <c r="E177" s="25">
        <f>MAX(0,COUNTIFS(Register[Faction],"The Aelf-Adal",Register[Type],"Force")-XLOOKUP("The Aelf-Adal",FactionState[Faction],FactionState[Force]))+MAX(0,COUNTIFS(Register[Faction],"The Aelf-Adal",Register[Type],"Cunning")-XLOOKUP("The Aelf-Adal",FactionState[Faction],FactionState[Cunning]))+MAX(0,COUNTIFS(Register[Faction],"The Aelf-Adal",Register[Type],"Wealth")-XLOOKUP("The Aelf-Adal",FactionState[Faction],FactionState[Wealth]))+MAX(0,COUNTIFS(Register[Faction],"The Aelf-Adal",Register[Type],"Magic")-XLOOKUP("The Aelf-Adal",FactionState[Faction],FactionState[Magic]))</f>
        <v/>
      </c>
      <c r="F177" s="25">
        <f>IFERROR(VALUE('Action Sheet'!I176),0)</f>
        <v/>
      </c>
      <c r="G177" s="25">
        <f>C177+D177-E177-F177</f>
        <v/>
      </c>
      <c r="H177" s="25">
        <f>'Action Sheet'!D176</f>
        <v/>
      </c>
      <c r="I177" s="25">
        <f>'Action Sheet'!E176</f>
        <v/>
      </c>
      <c r="J177" s="25">
        <f>'Action Sheet'!H176</f>
        <v/>
      </c>
      <c r="K177" s="25">
        <f>IF(H177="Attack",RANDBETWEEN(1,10),"")</f>
        <v/>
      </c>
      <c r="L177" s="25">
        <f>IF(H177="Attack", K177+IFERROR(SWITCH(XLOOKUP(I177,Catalog[Name],Catalog[AtkAttr]),"Force",XLOOKUP("The Aelf-Adal",FactionState[Faction],FactionState[Force]),"Cunning",XLOOKUP("The Aelf-Adal",FactionState[Faction],FactionState[Cunning]),"Wealth",XLOOKUP("The Aelf-Adal",FactionState[Faction],FactionState[Wealth]),"Magic",XLOOKUP("The Aelf-Adal",FactionState[Faction],FactionState[Magic]),0),0),"")</f>
        <v/>
      </c>
      <c r="M177" s="25">
        <f>IF(H177="Attack",RANDBETWEEN(1,10),"")</f>
        <v/>
      </c>
      <c r="N177" s="25">
        <f>IF(H177="Attack", M177+IFERROR(LET(def_fac, XLOOKUP(J177,Register[Asset],Register[Faction]),def_attr, XLOOKUP(I177,Catalog[Name],Catalog[DefAttr]),SWITCH(def_attr,"Force",XLOOKUP(def_fac,FactionState[Faction],FactionState[Force]),"Cunning",XLOOKUP(def_fac,FactionState[Faction],FactionState[Cunning]),"Wealth",XLOOKUP(def_fac,FactionState[Faction],FactionState[Wealth]),"Magic",XLOOKUP(def_fac,FactionState[Faction],FactionState[Magic]),0)),0),"")</f>
        <v/>
      </c>
      <c r="O177" s="25">
        <f>IF(H177&lt;&gt;"Attack","",IF(AND(ISNUMBER(L177),ISNUMBER(N177)),IF(L177&gt;N177,"Attacker","Defender"),""))</f>
        <v/>
      </c>
      <c r="P177" s="25">
        <f>IF(O177="Attacker",IFERROR(LET(nn,XLOOKUP(I177,Catalog[Name],Catalog[DmgN]),dd,XLOOKUP(I177,Catalog[Name],Catalog[DmgDie]),IF(dd=0,0,RANDBETWEEN(1,dd)+IF(nn&gt;=2,RANDBETWEEN(1,dd),0))),0),"")</f>
        <v/>
      </c>
      <c r="Q177" s="25">
        <f>IF(O177="Defender",IFERROR(LET(nn,XLOOKUP(J177,Catalog[Name],Catalog[CtrN]),dd,XLOOKUP(J177,Catalog[Name],Catalog[CtrDie]),IF(dd=0,0,RANDBETWEEN(1,dd)+IF(nn&gt;=2,RANDBETWEEN(1,dd),0))),0),"")</f>
        <v/>
      </c>
    </row>
    <row r="178">
      <c r="A178" s="23" t="n">
        <v>20</v>
      </c>
      <c r="B178" s="24" t="inlineStr">
        <is>
          <t>The Funginids</t>
        </is>
      </c>
      <c r="C178" s="25">
        <f>G169</f>
        <v/>
      </c>
      <c r="D178" s="25">
        <f>CEILING(XLOOKUP("The Funginids",FactionState[Faction],FactionState[Wealth])/2+XLOOKUP("The Funginids",FactionState[Faction],FactionState[Force])/4+XLOOKUP("The Funginids",FactionState[Faction],FactionState[Cunning])/4, 1)</f>
        <v/>
      </c>
      <c r="E178" s="25">
        <f>MAX(0,COUNTIFS(Register[Faction],"The Funginids",Register[Type],"Force")-XLOOKUP("The Funginids",FactionState[Faction],FactionState[Force]))+MAX(0,COUNTIFS(Register[Faction],"The Funginids",Register[Type],"Cunning")-XLOOKUP("The Funginids",FactionState[Faction],FactionState[Cunning]))+MAX(0,COUNTIFS(Register[Faction],"The Funginids",Register[Type],"Wealth")-XLOOKUP("The Funginids",FactionState[Faction],FactionState[Wealth]))+MAX(0,COUNTIFS(Register[Faction],"The Funginids",Register[Type],"Magic")-XLOOKUP("The Funginids",FactionState[Faction],FactionState[Magic]))</f>
        <v/>
      </c>
      <c r="F178" s="25">
        <f>IFERROR(VALUE('Action Sheet'!I177),0)</f>
        <v/>
      </c>
      <c r="G178" s="25">
        <f>C178+D178-E178-F178</f>
        <v/>
      </c>
      <c r="H178" s="25">
        <f>'Action Sheet'!D177</f>
        <v/>
      </c>
      <c r="I178" s="25">
        <f>'Action Sheet'!E177</f>
        <v/>
      </c>
      <c r="J178" s="25">
        <f>'Action Sheet'!H177</f>
        <v/>
      </c>
      <c r="K178" s="25">
        <f>IF(H178="Attack",RANDBETWEEN(1,10),"")</f>
        <v/>
      </c>
      <c r="L178" s="25">
        <f>IF(H178="Attack", K178+IFERROR(SWITCH(XLOOKUP(I178,Catalog[Name],Catalog[AtkAttr]),"Force",XLOOKUP("The Funginids",FactionState[Faction],FactionState[Force]),"Cunning",XLOOKUP("The Funginids",FactionState[Faction],FactionState[Cunning]),"Wealth",XLOOKUP("The Funginids",FactionState[Faction],FactionState[Wealth]),"Magic",XLOOKUP("The Funginids",FactionState[Faction],FactionState[Magic]),0),0),"")</f>
        <v/>
      </c>
      <c r="M178" s="25">
        <f>IF(H178="Attack",RANDBETWEEN(1,10),"")</f>
        <v/>
      </c>
      <c r="N178" s="25">
        <f>IF(H178="Attack", M178+IFERROR(LET(def_fac, XLOOKUP(J178,Register[Asset],Register[Faction]),def_attr, XLOOKUP(I178,Catalog[Name],Catalog[DefAttr]),SWITCH(def_attr,"Force",XLOOKUP(def_fac,FactionState[Faction],FactionState[Force]),"Cunning",XLOOKUP(def_fac,FactionState[Faction],FactionState[Cunning]),"Wealth",XLOOKUP(def_fac,FactionState[Faction],FactionState[Wealth]),"Magic",XLOOKUP(def_fac,FactionState[Faction],FactionState[Magic]),0)),0),"")</f>
        <v/>
      </c>
      <c r="O178" s="25">
        <f>IF(H178&lt;&gt;"Attack","",IF(AND(ISNUMBER(L178),ISNUMBER(N178)),IF(L178&gt;N178,"Attacker","Defender"),""))</f>
        <v/>
      </c>
      <c r="P178" s="25">
        <f>IF(O178="Attacker",IFERROR(LET(nn,XLOOKUP(I178,Catalog[Name],Catalog[DmgN]),dd,XLOOKUP(I178,Catalog[Name],Catalog[DmgDie]),IF(dd=0,0,RANDBETWEEN(1,dd)+IF(nn&gt;=2,RANDBETWEEN(1,dd),0))),0),"")</f>
        <v/>
      </c>
      <c r="Q178" s="25">
        <f>IF(O178="Defender",IFERROR(LET(nn,XLOOKUP(J178,Catalog[Name],Catalog[CtrN]),dd,XLOOKUP(J178,Catalog[Name],Catalog[CtrDie]),IF(dd=0,0,RANDBETWEEN(1,dd)+IF(nn&gt;=2,RANDBETWEEN(1,dd),0))),0),"")</f>
        <v/>
      </c>
    </row>
    <row r="179">
      <c r="A179" s="23" t="n">
        <v>20</v>
      </c>
      <c r="B179" s="24" t="inlineStr">
        <is>
          <t>The dErO</t>
        </is>
      </c>
      <c r="C179" s="25">
        <f>G170</f>
        <v/>
      </c>
      <c r="D179" s="25">
        <f>CEILING(XLOOKUP("The dErO",FactionState[Faction],FactionState[Wealth])/2+XLOOKUP("The dErO",FactionState[Faction],FactionState[Force])/4+XLOOKUP("The dErO",FactionState[Faction],FactionState[Cunning])/4, 1)</f>
        <v/>
      </c>
      <c r="E179" s="25">
        <f>MAX(0,COUNTIFS(Register[Faction],"The dErO",Register[Type],"Force")-XLOOKUP("The dErO",FactionState[Faction],FactionState[Force]))+MAX(0,COUNTIFS(Register[Faction],"The dErO",Register[Type],"Cunning")-XLOOKUP("The dErO",FactionState[Faction],FactionState[Cunning]))+MAX(0,COUNTIFS(Register[Faction],"The dErO",Register[Type],"Wealth")-XLOOKUP("The dErO",FactionState[Faction],FactionState[Wealth]))+MAX(0,COUNTIFS(Register[Faction],"The dErO",Register[Type],"Magic")-XLOOKUP("The dErO",FactionState[Faction],FactionState[Magic]))</f>
        <v/>
      </c>
      <c r="F179" s="25">
        <f>IFERROR(VALUE('Action Sheet'!I178),0)</f>
        <v/>
      </c>
      <c r="G179" s="25">
        <f>C179+D179-E179-F179</f>
        <v/>
      </c>
      <c r="H179" s="25">
        <f>'Action Sheet'!D178</f>
        <v/>
      </c>
      <c r="I179" s="25">
        <f>'Action Sheet'!E178</f>
        <v/>
      </c>
      <c r="J179" s="25">
        <f>'Action Sheet'!H178</f>
        <v/>
      </c>
      <c r="K179" s="25">
        <f>IF(H179="Attack",RANDBETWEEN(1,10),"")</f>
        <v/>
      </c>
      <c r="L179" s="25">
        <f>IF(H179="Attack", K179+IFERROR(SWITCH(XLOOKUP(I179,Catalog[Name],Catalog[AtkAttr]),"Force",XLOOKUP("The dErO",FactionState[Faction],FactionState[Force]),"Cunning",XLOOKUP("The dErO",FactionState[Faction],FactionState[Cunning]),"Wealth",XLOOKUP("The dErO",FactionState[Faction],FactionState[Wealth]),"Magic",XLOOKUP("The dErO",FactionState[Faction],FactionState[Magic]),0),0),"")</f>
        <v/>
      </c>
      <c r="M179" s="25">
        <f>IF(H179="Attack",RANDBETWEEN(1,10),"")</f>
        <v/>
      </c>
      <c r="N179" s="25">
        <f>IF(H179="Attack", M179+IFERROR(LET(def_fac, XLOOKUP(J179,Register[Asset],Register[Faction]),def_attr, XLOOKUP(I179,Catalog[Name],Catalog[DefAttr]),SWITCH(def_attr,"Force",XLOOKUP(def_fac,FactionState[Faction],FactionState[Force]),"Cunning",XLOOKUP(def_fac,FactionState[Faction],FactionState[Cunning]),"Wealth",XLOOKUP(def_fac,FactionState[Faction],FactionState[Wealth]),"Magic",XLOOKUP(def_fac,FactionState[Faction],FactionState[Magic]),0)),0),"")</f>
        <v/>
      </c>
      <c r="O179" s="25">
        <f>IF(H179&lt;&gt;"Attack","",IF(AND(ISNUMBER(L179),ISNUMBER(N179)),IF(L179&gt;N179,"Attacker","Defender"),""))</f>
        <v/>
      </c>
      <c r="P179" s="25">
        <f>IF(O179="Attacker",IFERROR(LET(nn,XLOOKUP(I179,Catalog[Name],Catalog[DmgN]),dd,XLOOKUP(I179,Catalog[Name],Catalog[DmgDie]),IF(dd=0,0,RANDBETWEEN(1,dd)+IF(nn&gt;=2,RANDBETWEEN(1,dd),0))),0),"")</f>
        <v/>
      </c>
      <c r="Q179" s="25">
        <f>IF(O179="Defender",IFERROR(LET(nn,XLOOKUP(J179,Catalog[Name],Catalog[CtrN]),dd,XLOOKUP(J179,Catalog[Name],Catalog[CtrDie]),IF(dd=0,0,RANDBETWEEN(1,dd)+IF(nn&gt;=2,RANDBETWEEN(1,dd),0))),0),"")</f>
        <v/>
      </c>
    </row>
    <row r="180">
      <c r="A180" s="23" t="n">
        <v>20</v>
      </c>
      <c r="B180" s="24" t="inlineStr">
        <is>
          <t>The Dvargir</t>
        </is>
      </c>
      <c r="C180" s="25">
        <f>G171</f>
        <v/>
      </c>
      <c r="D180" s="25">
        <f>CEILING(XLOOKUP("The Dvargir",FactionState[Faction],FactionState[Wealth])/2+XLOOKUP("The Dvargir",FactionState[Faction],FactionState[Force])/4+XLOOKUP("The Dvargir",FactionState[Faction],FactionState[Cunning])/4, 1)</f>
        <v/>
      </c>
      <c r="E180" s="25">
        <f>MAX(0,COUNTIFS(Register[Faction],"The Dvargir",Register[Type],"Force")-XLOOKUP("The Dvargir",FactionState[Faction],FactionState[Force]))+MAX(0,COUNTIFS(Register[Faction],"The Dvargir",Register[Type],"Cunning")-XLOOKUP("The Dvargir",FactionState[Faction],FactionState[Cunning]))+MAX(0,COUNTIFS(Register[Faction],"The Dvargir",Register[Type],"Wealth")-XLOOKUP("The Dvargir",FactionState[Faction],FactionState[Wealth]))+MAX(0,COUNTIFS(Register[Faction],"The Dvargir",Register[Type],"Magic")-XLOOKUP("The Dvargir",FactionState[Faction],FactionState[Magic]))</f>
        <v/>
      </c>
      <c r="F180" s="25">
        <f>IFERROR(VALUE('Action Sheet'!I179),0)</f>
        <v/>
      </c>
      <c r="G180" s="25">
        <f>C180+D180-E180-F180</f>
        <v/>
      </c>
      <c r="H180" s="25">
        <f>'Action Sheet'!D179</f>
        <v/>
      </c>
      <c r="I180" s="25">
        <f>'Action Sheet'!E179</f>
        <v/>
      </c>
      <c r="J180" s="25">
        <f>'Action Sheet'!H179</f>
        <v/>
      </c>
      <c r="K180" s="25">
        <f>IF(H180="Attack",RANDBETWEEN(1,10),"")</f>
        <v/>
      </c>
      <c r="L180" s="25">
        <f>IF(H180="Attack", K180+IFERROR(SWITCH(XLOOKUP(I180,Catalog[Name],Catalog[AtkAttr]),"Force",XLOOKUP("The Dvargir",FactionState[Faction],FactionState[Force]),"Cunning",XLOOKUP("The Dvargir",FactionState[Faction],FactionState[Cunning]),"Wealth",XLOOKUP("The Dvargir",FactionState[Faction],FactionState[Wealth]),"Magic",XLOOKUP("The Dvargir",FactionState[Faction],FactionState[Magic]),0),0),"")</f>
        <v/>
      </c>
      <c r="M180" s="25">
        <f>IF(H180="Attack",RANDBETWEEN(1,10),"")</f>
        <v/>
      </c>
      <c r="N180" s="25">
        <f>IF(H180="Attack", M180+IFERROR(LET(def_fac, XLOOKUP(J180,Register[Asset],Register[Faction]),def_attr, XLOOKUP(I180,Catalog[Name],Catalog[DefAttr]),SWITCH(def_attr,"Force",XLOOKUP(def_fac,FactionState[Faction],FactionState[Force]),"Cunning",XLOOKUP(def_fac,FactionState[Faction],FactionState[Cunning]),"Wealth",XLOOKUP(def_fac,FactionState[Faction],FactionState[Wealth]),"Magic",XLOOKUP(def_fac,FactionState[Faction],FactionState[Magic]),0)),0),"")</f>
        <v/>
      </c>
      <c r="O180" s="25">
        <f>IF(H180&lt;&gt;"Attack","",IF(AND(ISNUMBER(L180),ISNUMBER(N180)),IF(L180&gt;N180,"Attacker","Defender"),""))</f>
        <v/>
      </c>
      <c r="P180" s="25">
        <f>IF(O180="Attacker",IFERROR(LET(nn,XLOOKUP(I180,Catalog[Name],Catalog[DmgN]),dd,XLOOKUP(I180,Catalog[Name],Catalog[DmgDie]),IF(dd=0,0,RANDBETWEEN(1,dd)+IF(nn&gt;=2,RANDBETWEEN(1,dd),0))),0),"")</f>
        <v/>
      </c>
      <c r="Q180" s="25">
        <f>IF(O180="Defender",IFERROR(LET(nn,XLOOKUP(J180,Catalog[Name],Catalog[CtrN]),dd,XLOOKUP(J180,Catalog[Name],Catalog[CtrDie]),IF(dd=0,0,RANDBETWEEN(1,dd)+IF(nn&gt;=2,RANDBETWEEN(1,dd),0))),0),"")</f>
        <v/>
      </c>
    </row>
    <row r="181">
      <c r="A181" s="23" t="n">
        <v>20</v>
      </c>
      <c r="B181" s="24" t="inlineStr">
        <is>
          <t>The Gnonmen</t>
        </is>
      </c>
      <c r="C181" s="25">
        <f>G172</f>
        <v/>
      </c>
      <c r="D181" s="25">
        <f>CEILING(XLOOKUP("The Gnonmen",FactionState[Faction],FactionState[Wealth])/2+XLOOKUP("The Gnonmen",FactionState[Faction],FactionState[Force])/4+XLOOKUP("The Gnonmen",FactionState[Faction],FactionState[Cunning])/4, 1)</f>
        <v/>
      </c>
      <c r="E181" s="25">
        <f>MAX(0,COUNTIFS(Register[Faction],"The Gnonmen",Register[Type],"Force")-XLOOKUP("The Gnonmen",FactionState[Faction],FactionState[Force]))+MAX(0,COUNTIFS(Register[Faction],"The Gnonmen",Register[Type],"Cunning")-XLOOKUP("The Gnonmen",FactionState[Faction],FactionState[Cunning]))+MAX(0,COUNTIFS(Register[Faction],"The Gnonmen",Register[Type],"Wealth")-XLOOKUP("The Gnonmen",FactionState[Faction],FactionState[Wealth]))+MAX(0,COUNTIFS(Register[Faction],"The Gnonmen",Register[Type],"Magic")-XLOOKUP("The Gnonmen",FactionState[Faction],FactionState[Magic]))</f>
        <v/>
      </c>
      <c r="F181" s="25">
        <f>IFERROR(VALUE('Action Sheet'!I180),0)</f>
        <v/>
      </c>
      <c r="G181" s="25">
        <f>C181+D181-E181-F181</f>
        <v/>
      </c>
      <c r="H181" s="25">
        <f>'Action Sheet'!D180</f>
        <v/>
      </c>
      <c r="I181" s="25">
        <f>'Action Sheet'!E180</f>
        <v/>
      </c>
      <c r="J181" s="25">
        <f>'Action Sheet'!H180</f>
        <v/>
      </c>
      <c r="K181" s="25">
        <f>IF(H181="Attack",RANDBETWEEN(1,10),"")</f>
        <v/>
      </c>
      <c r="L181" s="25">
        <f>IF(H181="Attack", K181+IFERROR(SWITCH(XLOOKUP(I181,Catalog[Name],Catalog[AtkAttr]),"Force",XLOOKUP("The Gnonmen",FactionState[Faction],FactionState[Force]),"Cunning",XLOOKUP("The Gnonmen",FactionState[Faction],FactionState[Cunning]),"Wealth",XLOOKUP("The Gnonmen",FactionState[Faction],FactionState[Wealth]),"Magic",XLOOKUP("The Gnonmen",FactionState[Faction],FactionState[Magic]),0),0),"")</f>
        <v/>
      </c>
      <c r="M181" s="25">
        <f>IF(H181="Attack",RANDBETWEEN(1,10),"")</f>
        <v/>
      </c>
      <c r="N181" s="25">
        <f>IF(H181="Attack", M181+IFERROR(LET(def_fac, XLOOKUP(J181,Register[Asset],Register[Faction]),def_attr, XLOOKUP(I181,Catalog[Name],Catalog[DefAttr]),SWITCH(def_attr,"Force",XLOOKUP(def_fac,FactionState[Faction],FactionState[Force]),"Cunning",XLOOKUP(def_fac,FactionState[Faction],FactionState[Cunning]),"Wealth",XLOOKUP(def_fac,FactionState[Faction],FactionState[Wealth]),"Magic",XLOOKUP(def_fac,FactionState[Faction],FactionState[Magic]),0)),0),"")</f>
        <v/>
      </c>
      <c r="O181" s="25">
        <f>IF(H181&lt;&gt;"Attack","",IF(AND(ISNUMBER(L181),ISNUMBER(N181)),IF(L181&gt;N181,"Attacker","Defender"),""))</f>
        <v/>
      </c>
      <c r="P181" s="25">
        <f>IF(O181="Attacker",IFERROR(LET(nn,XLOOKUP(I181,Catalog[Name],Catalog[DmgN]),dd,XLOOKUP(I181,Catalog[Name],Catalog[DmgDie]),IF(dd=0,0,RANDBETWEEN(1,dd)+IF(nn&gt;=2,RANDBETWEEN(1,dd),0))),0),"")</f>
        <v/>
      </c>
      <c r="Q181" s="25">
        <f>IF(O181="Defender",IFERROR(LET(nn,XLOOKUP(J181,Catalog[Name],Catalog[CtrN]),dd,XLOOKUP(J181,Catalog[Name],Catalog[CtrDie]),IF(dd=0,0,RANDBETWEEN(1,dd)+IF(nn&gt;=2,RANDBETWEEN(1,dd),0))),0),"")</f>
        <v/>
      </c>
    </row>
    <row r="182">
      <c r="A182" s="23" t="n">
        <v>20</v>
      </c>
      <c r="B182" s="24" t="inlineStr">
        <is>
          <t>The Substratals</t>
        </is>
      </c>
      <c r="C182" s="25">
        <f>G173</f>
        <v/>
      </c>
      <c r="D182" s="25">
        <f>CEILING(XLOOKUP("The Substratals",FactionState[Faction],FactionState[Wealth])/2+XLOOKUP("The Substratals",FactionState[Faction],FactionState[Force])/4+XLOOKUP("The Substratals",FactionState[Faction],FactionState[Cunning])/4, 1)</f>
        <v/>
      </c>
      <c r="E182" s="25">
        <f>MAX(0,COUNTIFS(Register[Faction],"The Substratals",Register[Type],"Force")-XLOOKUP("The Substratals",FactionState[Faction],FactionState[Force]))+MAX(0,COUNTIFS(Register[Faction],"The Substratals",Register[Type],"Cunning")-XLOOKUP("The Substratals",FactionState[Faction],FactionState[Cunning]))+MAX(0,COUNTIFS(Register[Faction],"The Substratals",Register[Type],"Wealth")-XLOOKUP("The Substratals",FactionState[Faction],FactionState[Wealth]))+MAX(0,COUNTIFS(Register[Faction],"The Substratals",Register[Type],"Magic")-XLOOKUP("The Substratals",FactionState[Faction],FactionState[Magic]))</f>
        <v/>
      </c>
      <c r="F182" s="25">
        <f>IFERROR(VALUE('Action Sheet'!I181),0)</f>
        <v/>
      </c>
      <c r="G182" s="25">
        <f>C182+D182-E182-F182</f>
        <v/>
      </c>
      <c r="H182" s="25">
        <f>'Action Sheet'!D181</f>
        <v/>
      </c>
      <c r="I182" s="25">
        <f>'Action Sheet'!E181</f>
        <v/>
      </c>
      <c r="J182" s="25">
        <f>'Action Sheet'!H181</f>
        <v/>
      </c>
      <c r="K182" s="25">
        <f>IF(H182="Attack",RANDBETWEEN(1,10),"")</f>
        <v/>
      </c>
      <c r="L182" s="25">
        <f>IF(H182="Attack", K182+IFERROR(SWITCH(XLOOKUP(I182,Catalog[Name],Catalog[AtkAttr]),"Force",XLOOKUP("The Substratals",FactionState[Faction],FactionState[Force]),"Cunning",XLOOKUP("The Substratals",FactionState[Faction],FactionState[Cunning]),"Wealth",XLOOKUP("The Substratals",FactionState[Faction],FactionState[Wealth]),"Magic",XLOOKUP("The Substratals",FactionState[Faction],FactionState[Magic]),0),0),"")</f>
        <v/>
      </c>
      <c r="M182" s="25">
        <f>IF(H182="Attack",RANDBETWEEN(1,10),"")</f>
        <v/>
      </c>
      <c r="N182" s="25">
        <f>IF(H182="Attack", M182+IFERROR(LET(def_fac, XLOOKUP(J182,Register[Asset],Register[Faction]),def_attr, XLOOKUP(I182,Catalog[Name],Catalog[DefAttr]),SWITCH(def_attr,"Force",XLOOKUP(def_fac,FactionState[Faction],FactionState[Force]),"Cunning",XLOOKUP(def_fac,FactionState[Faction],FactionState[Cunning]),"Wealth",XLOOKUP(def_fac,FactionState[Faction],FactionState[Wealth]),"Magic",XLOOKUP(def_fac,FactionState[Faction],FactionState[Magic]),0)),0),"")</f>
        <v/>
      </c>
      <c r="O182" s="25">
        <f>IF(H182&lt;&gt;"Attack","",IF(AND(ISNUMBER(L182),ISNUMBER(N182)),IF(L182&gt;N182,"Attacker","Defender"),""))</f>
        <v/>
      </c>
      <c r="P182" s="25">
        <f>IF(O182="Attacker",IFERROR(LET(nn,XLOOKUP(I182,Catalog[Name],Catalog[DmgN]),dd,XLOOKUP(I182,Catalog[Name],Catalog[DmgDie]),IF(dd=0,0,RANDBETWEEN(1,dd)+IF(nn&gt;=2,RANDBETWEEN(1,dd),0))),0),"")</f>
        <v/>
      </c>
      <c r="Q182" s="25">
        <f>IF(O182="Defender",IFERROR(LET(nn,XLOOKUP(J182,Catalog[Name],Catalog[CtrN]),dd,XLOOKUP(J182,Catalog[Name],Catalog[CtrDie]),IF(dd=0,0,RANDBETWEEN(1,dd)+IF(nn&gt;=2,RANDBETWEEN(1,dd),0))),0),"")</f>
        <v/>
      </c>
    </row>
    <row r="183">
      <c r="A183" s="23" t="n">
        <v>20</v>
      </c>
      <c r="B183" s="24" t="inlineStr">
        <is>
          <t>The Deep Janeen</t>
        </is>
      </c>
      <c r="C183" s="25">
        <f>G174</f>
        <v/>
      </c>
      <c r="D183" s="25">
        <f>CEILING(XLOOKUP("The Deep Janeen",FactionState[Faction],FactionState[Wealth])/2+XLOOKUP("The Deep Janeen",FactionState[Faction],FactionState[Force])/4+XLOOKUP("The Deep Janeen",FactionState[Faction],FactionState[Cunning])/4, 1)</f>
        <v/>
      </c>
      <c r="E183" s="25">
        <f>MAX(0,COUNTIFS(Register[Faction],"The Deep Janeen",Register[Type],"Force")-XLOOKUP("The Deep Janeen",FactionState[Faction],FactionState[Force]))+MAX(0,COUNTIFS(Register[Faction],"The Deep Janeen",Register[Type],"Cunning")-XLOOKUP("The Deep Janeen",FactionState[Faction],FactionState[Cunning]))+MAX(0,COUNTIFS(Register[Faction],"The Deep Janeen",Register[Type],"Wealth")-XLOOKUP("The Deep Janeen",FactionState[Faction],FactionState[Wealth]))+MAX(0,COUNTIFS(Register[Faction],"The Deep Janeen",Register[Type],"Magic")-XLOOKUP("The Deep Janeen",FactionState[Faction],FactionState[Magic]))</f>
        <v/>
      </c>
      <c r="F183" s="25">
        <f>IFERROR(VALUE('Action Sheet'!I182),0)</f>
        <v/>
      </c>
      <c r="G183" s="25">
        <f>C183+D183-E183-F183</f>
        <v/>
      </c>
      <c r="H183" s="25">
        <f>'Action Sheet'!D182</f>
        <v/>
      </c>
      <c r="I183" s="25">
        <f>'Action Sheet'!E182</f>
        <v/>
      </c>
      <c r="J183" s="25">
        <f>'Action Sheet'!H182</f>
        <v/>
      </c>
      <c r="K183" s="25">
        <f>IF(H183="Attack",RANDBETWEEN(1,10),"")</f>
        <v/>
      </c>
      <c r="L183" s="25">
        <f>IF(H183="Attack", K183+IFERROR(SWITCH(XLOOKUP(I183,Catalog[Name],Catalog[AtkAttr]),"Force",XLOOKUP("The Deep Janeen",FactionState[Faction],FactionState[Force]),"Cunning",XLOOKUP("The Deep Janeen",FactionState[Faction],FactionState[Cunning]),"Wealth",XLOOKUP("The Deep Janeen",FactionState[Faction],FactionState[Wealth]),"Magic",XLOOKUP("The Deep Janeen",FactionState[Faction],FactionState[Magic]),0),0),"")</f>
        <v/>
      </c>
      <c r="M183" s="25">
        <f>IF(H183="Attack",RANDBETWEEN(1,10),"")</f>
        <v/>
      </c>
      <c r="N183" s="25">
        <f>IF(H183="Attack", M183+IFERROR(LET(def_fac, XLOOKUP(J183,Register[Asset],Register[Faction]),def_attr, XLOOKUP(I183,Catalog[Name],Catalog[DefAttr]),SWITCH(def_attr,"Force",XLOOKUP(def_fac,FactionState[Faction],FactionState[Force]),"Cunning",XLOOKUP(def_fac,FactionState[Faction],FactionState[Cunning]),"Wealth",XLOOKUP(def_fac,FactionState[Faction],FactionState[Wealth]),"Magic",XLOOKUP(def_fac,FactionState[Faction],FactionState[Magic]),0)),0),"")</f>
        <v/>
      </c>
      <c r="O183" s="25">
        <f>IF(H183&lt;&gt;"Attack","",IF(AND(ISNUMBER(L183),ISNUMBER(N183)),IF(L183&gt;N183,"Attacker","Defender"),""))</f>
        <v/>
      </c>
      <c r="P183" s="25">
        <f>IF(O183="Attacker",IFERROR(LET(nn,XLOOKUP(I183,Catalog[Name],Catalog[DmgN]),dd,XLOOKUP(I183,Catalog[Name],Catalog[DmgDie]),IF(dd=0,0,RANDBETWEEN(1,dd)+IF(nn&gt;=2,RANDBETWEEN(1,dd),0))),0),"")</f>
        <v/>
      </c>
      <c r="Q183" s="25">
        <f>IF(O183="Defender",IFERROR(LET(nn,XLOOKUP(J183,Catalog[Name],Catalog[CtrN]),dd,XLOOKUP(J183,Catalog[Name],Catalog[CtrDie]),IF(dd=0,0,RANDBETWEEN(1,dd)+IF(nn&gt;=2,RANDBETWEEN(1,dd),0))),0),"")</f>
        <v/>
      </c>
    </row>
    <row r="184">
      <c r="A184" s="23" t="n">
        <v>20</v>
      </c>
      <c r="B184" s="24" t="inlineStr">
        <is>
          <t>The Olm</t>
        </is>
      </c>
      <c r="C184" s="25">
        <f>G175</f>
        <v/>
      </c>
      <c r="D184" s="25">
        <f>CEILING(XLOOKUP("The Olm",FactionState[Faction],FactionState[Wealth])/2+XLOOKUP("The Olm",FactionState[Faction],FactionState[Force])/4+XLOOKUP("The Olm",FactionState[Faction],FactionState[Cunning])/4, 1)</f>
        <v/>
      </c>
      <c r="E184" s="25">
        <f>MAX(0,COUNTIFS(Register[Faction],"The Olm",Register[Type],"Force")-XLOOKUP("The Olm",FactionState[Faction],FactionState[Force]))+MAX(0,COUNTIFS(Register[Faction],"The Olm",Register[Type],"Cunning")-XLOOKUP("The Olm",FactionState[Faction],FactionState[Cunning]))+MAX(0,COUNTIFS(Register[Faction],"The Olm",Register[Type],"Wealth")-XLOOKUP("The Olm",FactionState[Faction],FactionState[Wealth]))+MAX(0,COUNTIFS(Register[Faction],"The Olm",Register[Type],"Magic")-XLOOKUP("The Olm",FactionState[Faction],FactionState[Magic]))</f>
        <v/>
      </c>
      <c r="F184" s="25">
        <f>IFERROR(VALUE('Action Sheet'!I183),0)</f>
        <v/>
      </c>
      <c r="G184" s="25">
        <f>C184+D184-E184-F184</f>
        <v/>
      </c>
      <c r="H184" s="25">
        <f>'Action Sheet'!D183</f>
        <v/>
      </c>
      <c r="I184" s="25">
        <f>'Action Sheet'!E183</f>
        <v/>
      </c>
      <c r="J184" s="25">
        <f>'Action Sheet'!H183</f>
        <v/>
      </c>
      <c r="K184" s="25">
        <f>IF(H184="Attack",RANDBETWEEN(1,10),"")</f>
        <v/>
      </c>
      <c r="L184" s="25">
        <f>IF(H184="Attack", K184+IFERROR(SWITCH(XLOOKUP(I184,Catalog[Name],Catalog[AtkAttr]),"Force",XLOOKUP("The Olm",FactionState[Faction],FactionState[Force]),"Cunning",XLOOKUP("The Olm",FactionState[Faction],FactionState[Cunning]),"Wealth",XLOOKUP("The Olm",FactionState[Faction],FactionState[Wealth]),"Magic",XLOOKUP("The Olm",FactionState[Faction],FactionState[Magic]),0),0),"")</f>
        <v/>
      </c>
      <c r="M184" s="25">
        <f>IF(H184="Attack",RANDBETWEEN(1,10),"")</f>
        <v/>
      </c>
      <c r="N184" s="25">
        <f>IF(H184="Attack", M184+IFERROR(LET(def_fac, XLOOKUP(J184,Register[Asset],Register[Faction]),def_attr, XLOOKUP(I184,Catalog[Name],Catalog[DefAttr]),SWITCH(def_attr,"Force",XLOOKUP(def_fac,FactionState[Faction],FactionState[Force]),"Cunning",XLOOKUP(def_fac,FactionState[Faction],FactionState[Cunning]),"Wealth",XLOOKUP(def_fac,FactionState[Faction],FactionState[Wealth]),"Magic",XLOOKUP(def_fac,FactionState[Faction],FactionState[Magic]),0)),0),"")</f>
        <v/>
      </c>
      <c r="O184" s="25">
        <f>IF(H184&lt;&gt;"Attack","",IF(AND(ISNUMBER(L184),ISNUMBER(N184)),IF(L184&gt;N184,"Attacker","Defender"),""))</f>
        <v/>
      </c>
      <c r="P184" s="25">
        <f>IF(O184="Attacker",IFERROR(LET(nn,XLOOKUP(I184,Catalog[Name],Catalog[DmgN]),dd,XLOOKUP(I184,Catalog[Name],Catalog[DmgDie]),IF(dd=0,0,RANDBETWEEN(1,dd)+IF(nn&gt;=2,RANDBETWEEN(1,dd),0))),0),"")</f>
        <v/>
      </c>
      <c r="Q184" s="25">
        <f>IF(O184="Defender",IFERROR(LET(nn,XLOOKUP(J184,Catalog[Name],Catalog[CtrN]),dd,XLOOKUP(J184,Catalog[Name],Catalog[CtrDie]),IF(dd=0,0,RANDBETWEEN(1,dd)+IF(nn&gt;=2,RANDBETWEEN(1,dd),0))),0),"")</f>
        <v/>
      </c>
    </row>
  </sheetData>
  <mergeCells count="2">
    <mergeCell ref="A2:Q2"/>
    <mergeCell ref="A1:Q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2026-05-26T07:21:26Z</dcterms:created>
  <dcterms:modified xsi:type="dcterms:W3CDTF">2026-05-26T07:21:26Z</dcterms:modified>
</cp:coreProperties>
</file>