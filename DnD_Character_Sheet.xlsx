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haracter" sheetId="2" state="visible" r:id="rId2"/>
    <sheet name="Inventory" sheetId="3" state="visible" r:id="rId3"/>
    <sheet name="Combat &amp; Spells" sheetId="4" state="visible" r:id="rId4"/>
    <sheet name="Features &amp; Notes" sheetId="5" state="visible" r:id="rId5"/>
    <sheet name="_ClassRef"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Book Antiqua"/>
      <b val="1"/>
      <color rgb="00E8DBC4"/>
      <sz val="18"/>
    </font>
    <font>
      <name val="Cambria"/>
      <color rgb="00E8DBC4"/>
      <sz val="11"/>
    </font>
    <font>
      <name val="Book Antiqua"/>
      <b val="1"/>
      <color rgb="00E8DBC4"/>
      <sz val="12"/>
    </font>
    <font>
      <name val="Book Antiqua"/>
      <b val="1"/>
      <color rgb="00E8DBC4"/>
      <sz val="11"/>
    </font>
    <font>
      <name val="Cambria"/>
      <i val="1"/>
      <color rgb="009C8F7A"/>
      <sz val="11"/>
    </font>
  </fonts>
  <fills count="9">
    <fill>
      <patternFill/>
    </fill>
    <fill>
      <patternFill patternType="gray125"/>
    </fill>
    <fill>
      <patternFill patternType="solid">
        <fgColor rgb="000B0B0B"/>
      </patternFill>
    </fill>
    <fill>
      <patternFill patternType="solid">
        <fgColor rgb="001A1817"/>
      </patternFill>
    </fill>
    <fill>
      <patternFill patternType="solid">
        <fgColor rgb="005C2A3F"/>
      </patternFill>
    </fill>
    <fill>
      <patternFill patternType="solid">
        <fgColor rgb="002A2520"/>
      </patternFill>
    </fill>
    <fill>
      <patternFill patternType="solid">
        <fgColor rgb="004A1818"/>
      </patternFill>
    </fill>
    <fill>
      <patternFill patternType="solid">
        <fgColor rgb="001F2828"/>
      </patternFill>
    </fill>
    <fill>
      <patternFill patternType="solid">
        <fgColor rgb="00A03333"/>
      </patternFill>
    </fill>
  </fills>
  <borders count="6">
    <border>
      <left/>
      <right/>
      <top/>
      <bottom/>
      <diagonal/>
    </border>
    <border>
      <left style="thin">
        <color rgb="003A3530"/>
      </left>
      <right style="thin">
        <color rgb="003A3530"/>
      </right>
      <top style="thin">
        <color rgb="003A3530"/>
      </top>
      <bottom style="thin">
        <color rgb="003A3530"/>
      </bottom>
    </border>
    <border>
      <left/>
      <right/>
      <top style="thin">
        <color rgb="003A3530"/>
      </top>
      <bottom/>
      <diagonal/>
    </border>
    <border>
      <left/>
      <right style="thin">
        <color rgb="003A3530"/>
      </right>
      <top style="thin">
        <color rgb="003A3530"/>
      </top>
      <bottom/>
      <diagonal/>
    </border>
    <border>
      <left/>
      <right/>
      <top style="thin">
        <color rgb="003A3530"/>
      </top>
      <bottom style="thin">
        <color rgb="003A3530"/>
      </bottom>
      <diagonal/>
    </border>
    <border>
      <left/>
      <right style="thin">
        <color rgb="003A3530"/>
      </right>
      <top style="thin">
        <color rgb="003A3530"/>
      </top>
      <bottom style="thin">
        <color rgb="003A3530"/>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0" applyAlignment="1" pivotButton="0" quotePrefix="0" xfId="0">
      <alignment horizontal="left" vertical="center" indent="1"/>
    </xf>
    <xf numFmtId="0" fontId="4" fillId="3" borderId="1" applyAlignment="1" pivotButton="0" quotePrefix="0" xfId="0">
      <alignment horizontal="left" vertical="top" wrapText="1"/>
    </xf>
    <xf numFmtId="0" fontId="2" fillId="5" borderId="1" applyAlignment="1" pivotButton="0" quotePrefix="0" xfId="0">
      <alignment vertical="top" wrapText="1"/>
    </xf>
    <xf numFmtId="0" fontId="3" fillId="6" borderId="0" applyAlignment="1" pivotButton="0" quotePrefix="0" xfId="0">
      <alignment horizontal="left" vertical="center" indent="1"/>
    </xf>
    <xf numFmtId="0" fontId="0" fillId="5" borderId="1" pivotButton="0" quotePrefix="0" xfId="0"/>
    <xf numFmtId="0" fontId="2" fillId="3" borderId="1" applyAlignment="1" pivotButton="0" quotePrefix="0" xfId="0">
      <alignment horizontal="left" vertical="top" wrapText="1"/>
    </xf>
    <xf numFmtId="0" fontId="0" fillId="7" borderId="1" pivotButton="0" quotePrefix="0" xfId="0"/>
    <xf numFmtId="0" fontId="0" fillId="3" borderId="1" pivotButton="0" quotePrefix="0" xfId="0"/>
    <xf numFmtId="0" fontId="0" fillId="4" borderId="1" pivotButton="0" quotePrefix="0" xfId="0"/>
    <xf numFmtId="0" fontId="0" fillId="8" borderId="1" pivotButton="0" quotePrefix="0" xfId="0"/>
    <xf numFmtId="0" fontId="2" fillId="5" borderId="1" applyAlignment="1" pivotButton="0" quotePrefix="0" xfId="0">
      <alignment horizontal="left" vertical="top" wrapText="1"/>
    </xf>
    <xf numFmtId="0" fontId="2"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applyAlignment="1" pivotButton="0" quotePrefix="0" xfId="0">
      <alignment vertical="top" wrapText="1"/>
    </xf>
    <xf numFmtId="0" fontId="0" fillId="6" borderId="1" pivotButton="0" quotePrefix="0" xfId="0"/>
    <xf numFmtId="0" fontId="4"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4" fillId="6" borderId="0" applyAlignment="1" pivotButton="0" quotePrefix="0" xfId="0">
      <alignment horizontal="center" vertical="center" wrapText="1"/>
    </xf>
  </cellXfs>
  <cellStyles count="1">
    <cellStyle name="Normal" xfId="0" builtinId="0" hidden="0"/>
  </cellStyles>
  <dxfs count="1">
    <dxf>
      <fill>
        <patternFill patternType="solid">
          <bgColor rgb="00A0333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ClassDB" displayName="ClassDB" ref="A1:D14" headerRowCount="1">
  <autoFilter ref="A1:D14"/>
  <tableColumns count="4">
    <tableColumn id="1" name="Class"/>
    <tableColumn id="2" name="HitDie"/>
    <tableColumn id="3" name="HitDieMax"/>
    <tableColumn id="4" name="CasterType"/>
  </tableColumns>
  <tableStyleInfo name="TableStyleLight15" showRowStripes="1"/>
</table>
</file>

<file path=xl/tables/table2.xml><?xml version="1.0" encoding="utf-8"?>
<table xmlns="http://schemas.openxmlformats.org/spreadsheetml/2006/main" id="2" name="SlotTable" displayName="SlotTable" ref="F1:P261" headerRowCount="1">
  <autoFilter ref="F1:P261"/>
  <tableColumns count="11">
    <tableColumn id="6" name="Class"/>
    <tableColumn id="7" name="Lvl"/>
    <tableColumn id="8" name="Slots1"/>
    <tableColumn id="9" name="Slots2"/>
    <tableColumn id="10" name="Slots3"/>
    <tableColumn id="11" name="Slots4"/>
    <tableColumn id="12" name="Slots5"/>
    <tableColumn id="13" name="Slots6"/>
    <tableColumn id="14" name="Slots7"/>
    <tableColumn id="15" name="Slots8"/>
    <tableColumn id="16" name="Slots9"/>
  </tableColumns>
  <tableStyleInfo name="TableStyleLight1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sheet1.xml><?xml version="1.0" encoding="utf-8"?>
<worksheet xmlns="http://schemas.openxmlformats.org/spreadsheetml/2006/main">
  <sheetPr>
    <tabColor rgb="000B0B0B"/>
    <outlinePr summaryBelow="1" summaryRight="1"/>
    <pageSetUpPr/>
  </sheetPr>
  <dimension ref="A1:D25"/>
  <sheetViews>
    <sheetView workbookViewId="0">
      <selection activeCell="A1" sqref="A1"/>
    </sheetView>
  </sheetViews>
  <sheetFormatPr baseColWidth="8" defaultRowHeight="15"/>
  <cols>
    <col width="26" customWidth="1" min="1" max="1"/>
    <col width="90" customWidth="1" min="2" max="2"/>
  </cols>
  <sheetData>
    <row r="1" ht="32" customHeight="1">
      <c r="A1" s="1" t="inlineStr">
        <is>
          <t>Character Sheet</t>
        </is>
      </c>
    </row>
    <row r="3" ht="36" customHeight="1">
      <c r="A3" s="2" t="inlineStr">
        <is>
          <t>A 5e character sheet with four house rules baked into the formulas. Edit the parchment-coloured cells; the lichen-blue cells are calculated and shouldn't be overwritten.</t>
        </is>
      </c>
    </row>
    <row r="5" ht="22" customHeight="1">
      <c r="A5" s="3" t="inlineStr">
        <is>
          <t>House Rules</t>
        </is>
      </c>
    </row>
    <row r="6" ht="60" customHeight="1">
      <c r="A6" s="4" t="inlineStr">
        <is>
          <t>Slot-based inventory</t>
        </is>
      </c>
      <c r="B6" s="5" t="inlineStr">
        <is>
          <t>Carrying capacity = Strength score, in slots. Each item has a slot cost; the Inventory sheet's capacity bar turns red if the pack goes over.</t>
        </is>
      </c>
    </row>
    <row r="7" ht="60" customHeight="1">
      <c r="A7" s="4" t="inlineStr">
        <is>
          <t>Exhaustion 0-6</t>
        </is>
      </c>
      <c r="B7" s="5" t="inlineStr">
        <is>
          <t>Each level applies -2 to all d20 tests and -5 ft to speed; at level 6 the character dies. Each level of exhaustion also occupies one inventory slot.</t>
        </is>
      </c>
    </row>
    <row r="8" ht="60" customHeight="1">
      <c r="A8" s="4" t="inlineStr">
        <is>
          <t>Death Tally</t>
        </is>
      </c>
      <c r="B8" s="5" t="inlineStr">
        <is>
          <t>When the character hits 0 HP the GM rolls 1d4 in secret — the number of rounds before death. The Death Tally cell is for tables that prefer the count visible.</t>
        </is>
      </c>
    </row>
    <row r="9" ht="60" customHeight="1">
      <c r="A9" s="4" t="inlineStr">
        <is>
          <t>Static HP from class + CON</t>
        </is>
      </c>
      <c r="B9" s="5" t="inlineStr">
        <is>
          <t>Max HP = HP-die maximum (by class) + Constitution modifier. Does not scale with level. Auto-computed once you select a class.</t>
        </is>
      </c>
    </row>
    <row r="10" ht="60" customHeight="1">
      <c r="A10" s="4" t="inlineStr">
        <is>
          <t>DEX score = Initiative</t>
        </is>
      </c>
      <c r="B10" s="5" t="inlineStr">
        <is>
          <t>Initiative is the raw Dexterity score, not the modifier. (Not tracked as a separate field — read it off the DEX row.)</t>
        </is>
      </c>
    </row>
    <row r="11" ht="60" customHeight="1">
      <c r="A11" s="4" t="inlineStr">
        <is>
          <t>Climb speed = half walking speed</t>
        </is>
      </c>
      <c r="B11" s="5" t="inlineStr">
        <is>
          <t>Climb Speed is auto-derived from Walking Speed. No separate input needed.</t>
        </is>
      </c>
    </row>
    <row r="13" ht="22" customHeight="1">
      <c r="A13" s="6" t="inlineStr">
        <is>
          <t>Sheets</t>
        </is>
      </c>
    </row>
    <row r="14" ht="22" customHeight="1">
      <c r="A14" s="4" t="inlineStr">
        <is>
          <t>Character</t>
        </is>
      </c>
      <c r="B14" s="2" t="inlineStr">
        <is>
          <t>Identity, ability scores, combat, homebrew trackers, skills.</t>
        </is>
      </c>
    </row>
    <row r="15" ht="22" customHeight="1">
      <c r="A15" s="4" t="inlineStr">
        <is>
          <t>Inventory</t>
        </is>
      </c>
      <c r="B15" s="2" t="inlineStr">
        <is>
          <t>Slot-based pack with auto capacity bar.</t>
        </is>
      </c>
    </row>
    <row r="16" ht="22" customHeight="1">
      <c r="A16" s="4" t="inlineStr">
        <is>
          <t>Combat &amp; Spells</t>
        </is>
      </c>
      <c r="B16" s="2" t="inlineStr">
        <is>
          <t>Weapons / attacks, spellcasting block, auto-filled spell-slot grid, spells known.</t>
        </is>
      </c>
    </row>
    <row r="17" ht="22" customHeight="1">
      <c r="A17" s="4" t="inlineStr">
        <is>
          <t>Features &amp; Notes</t>
        </is>
      </c>
      <c r="B17" s="2" t="inlineStr">
        <is>
          <t>Class / racial / background features, languages, proficiencies, backstory.</t>
        </is>
      </c>
    </row>
    <row r="18" ht="22" customHeight="1">
      <c r="A18" s="4" t="inlineStr">
        <is>
          <t>_ClassRef</t>
        </is>
      </c>
      <c r="B18" s="2" t="inlineStr">
        <is>
          <t>Hidden-friendly helper sheet: ClassDB and SlotTable. Edit only if you're adding homebrew classes.</t>
        </is>
      </c>
    </row>
    <row r="20" ht="22" customHeight="1">
      <c r="A20" s="6" t="inlineStr">
        <is>
          <t>Colour Key</t>
        </is>
      </c>
    </row>
    <row r="21">
      <c r="A21" s="7" t="inlineStr"/>
      <c r="B21" s="8" t="inlineStr">
        <is>
          <t>Input cell — type here.</t>
        </is>
      </c>
    </row>
    <row r="22">
      <c r="A22" s="9" t="inlineStr"/>
      <c r="B22" s="8" t="inlineStr">
        <is>
          <t>Calculated — do not overwrite.</t>
        </is>
      </c>
    </row>
    <row r="23">
      <c r="A23" s="10" t="inlineStr"/>
      <c r="B23" s="8" t="inlineStr">
        <is>
          <t>Field label.</t>
        </is>
      </c>
    </row>
    <row r="24">
      <c r="A24" s="11" t="inlineStr"/>
      <c r="B24" s="8" t="inlineStr">
        <is>
          <t>House-rule field.</t>
        </is>
      </c>
    </row>
    <row r="25">
      <c r="A25" s="12" t="inlineStr"/>
      <c r="B25" s="8" t="inlineStr">
        <is>
          <t>Warning — over capacity / dying.</t>
        </is>
      </c>
    </row>
  </sheetData>
  <mergeCells count="5">
    <mergeCell ref="A1:D1"/>
    <mergeCell ref="A5:D5"/>
    <mergeCell ref="A20:D20"/>
    <mergeCell ref="A3:B3"/>
    <mergeCell ref="A13:D13"/>
  </mergeCells>
  <pageMargins left="0.75" right="0.75" top="1" bottom="1" header="0.5" footer="0.5"/>
</worksheet>
</file>

<file path=xl/worksheets/sheet2.xml><?xml version="1.0" encoding="utf-8"?>
<worksheet xmlns="http://schemas.openxmlformats.org/spreadsheetml/2006/main">
  <sheetPr>
    <tabColor rgb="004A1818"/>
    <outlinePr summaryBelow="1" summaryRight="1"/>
    <pageSetUpPr/>
  </sheetPr>
  <dimension ref="A1:J46"/>
  <sheetViews>
    <sheetView workbookViewId="0">
      <selection activeCell="A1" sqref="A1"/>
    </sheetView>
  </sheetViews>
  <sheetFormatPr baseColWidth="8" defaultRowHeight="15"/>
  <cols>
    <col width="22" customWidth="1" min="1" max="1"/>
    <col width="10" customWidth="1" min="2" max="2"/>
    <col width="8" customWidth="1" min="3" max="3"/>
    <col width="10" customWidth="1" min="4" max="4"/>
    <col width="16" customWidth="1" min="5" max="5"/>
    <col width="12" customWidth="1" min="6" max="6"/>
    <col width="14" customWidth="1" min="7" max="7"/>
    <col width="14" customWidth="1" min="8" max="8"/>
    <col width="14" customWidth="1" min="9" max="9"/>
    <col width="18" customWidth="1" min="10" max="10"/>
  </cols>
  <sheetData>
    <row r="1" ht="32" customHeight="1">
      <c r="A1" s="1" t="inlineStr">
        <is>
          <t>Character</t>
        </is>
      </c>
    </row>
    <row r="3">
      <c r="A3" s="4" t="inlineStr">
        <is>
          <t>Character Name</t>
        </is>
      </c>
      <c r="B3" s="13" t="n"/>
      <c r="E3" s="4" t="inlineStr">
        <is>
          <t>Class</t>
        </is>
      </c>
      <c r="F3" s="13" t="n"/>
      <c r="G3" s="4" t="inlineStr">
        <is>
          <t>Level</t>
        </is>
      </c>
      <c r="H3" s="14" t="n">
        <v>1</v>
      </c>
      <c r="I3" s="4" t="inlineStr">
        <is>
          <t>Climb Speed</t>
        </is>
      </c>
      <c r="J3" s="15">
        <f>FLOOR(H5/2,1)</f>
        <v/>
      </c>
    </row>
    <row r="4">
      <c r="A4" s="4" t="inlineStr">
        <is>
          <t>Race / Ancestry</t>
        </is>
      </c>
      <c r="B4" s="13" t="n"/>
      <c r="E4" s="4" t="inlineStr">
        <is>
          <t>Background</t>
        </is>
      </c>
      <c r="F4" s="13" t="n"/>
      <c r="G4" s="4" t="inlineStr">
        <is>
          <t>Alignment</t>
        </is>
      </c>
      <c r="H4" s="13" t="n"/>
      <c r="I4" s="4" t="inlineStr">
        <is>
          <t>Player</t>
        </is>
      </c>
      <c r="J4" s="13" t="n"/>
    </row>
    <row r="5">
      <c r="A5" s="4" t="inlineStr">
        <is>
          <t>Proficiency Bonus</t>
        </is>
      </c>
      <c r="B5" s="15">
        <f>IF(ISNUMBER($H$3),INT(($H$3-1)/4)+2,2)</f>
        <v/>
      </c>
      <c r="C5" s="4" t="inlineStr">
        <is>
          <t>Inspiration</t>
        </is>
      </c>
      <c r="D5" s="14" t="n"/>
      <c r="E5" s="4" t="inlineStr">
        <is>
          <t>Passive Perception</t>
        </is>
      </c>
      <c r="F5" s="15">
        <f>10+C13+IF(C40="✓",IF(D40="✓",2,1)*$B$5,0)-2*$A$24</f>
        <v/>
      </c>
      <c r="G5" s="4" t="inlineStr">
        <is>
          <t>Walking Speed</t>
        </is>
      </c>
      <c r="H5" s="14" t="n">
        <v>30</v>
      </c>
      <c r="I5" s="4" t="inlineStr">
        <is>
          <t>Effective Walk</t>
        </is>
      </c>
      <c r="J5" s="15">
        <f>MAX(0,H5-5*$A$24)</f>
        <v/>
      </c>
    </row>
    <row r="7" ht="22" customHeight="1">
      <c r="A7" s="6" t="inlineStr">
        <is>
          <t>Ability Scores &amp; Saving Throws</t>
        </is>
      </c>
    </row>
    <row r="8">
      <c r="A8" s="16" t="inlineStr">
        <is>
          <t>Ability</t>
        </is>
      </c>
      <c r="B8" s="16" t="inlineStr">
        <is>
          <t>Score</t>
        </is>
      </c>
      <c r="C8" s="16" t="inlineStr">
        <is>
          <t>Mod</t>
        </is>
      </c>
      <c r="D8" s="16" t="inlineStr">
        <is>
          <t>Save Prof?</t>
        </is>
      </c>
      <c r="E8" s="16" t="inlineStr">
        <is>
          <t>Save Total</t>
        </is>
      </c>
    </row>
    <row r="9">
      <c r="A9" s="17" t="inlineStr">
        <is>
          <t>STR</t>
        </is>
      </c>
      <c r="B9" s="14" t="n">
        <v>10</v>
      </c>
      <c r="C9" s="15">
        <f>INT((B9-10)/2)</f>
        <v/>
      </c>
      <c r="D9" s="14" t="n"/>
      <c r="E9" s="15">
        <f>C9+IF(D9="✓",$B$5,0)-2*$A$24</f>
        <v/>
      </c>
    </row>
    <row r="10">
      <c r="A10" s="17" t="inlineStr">
        <is>
          <t>DEX</t>
        </is>
      </c>
      <c r="B10" s="14" t="n">
        <v>10</v>
      </c>
      <c r="C10" s="15">
        <f>INT((B10-10)/2)</f>
        <v/>
      </c>
      <c r="D10" s="14" t="n"/>
      <c r="E10" s="15">
        <f>C10+IF(D10="✓",$B$5,0)-2*$A$24</f>
        <v/>
      </c>
    </row>
    <row r="11">
      <c r="A11" s="17" t="inlineStr">
        <is>
          <t>CON</t>
        </is>
      </c>
      <c r="B11" s="14" t="n">
        <v>10</v>
      </c>
      <c r="C11" s="15">
        <f>INT((B11-10)/2)</f>
        <v/>
      </c>
      <c r="D11" s="14" t="n"/>
      <c r="E11" s="15">
        <f>C11+IF(D11="✓",$B$5,0)-2*$A$24</f>
        <v/>
      </c>
    </row>
    <row r="12">
      <c r="A12" s="17" t="inlineStr">
        <is>
          <t>INT</t>
        </is>
      </c>
      <c r="B12" s="14" t="n">
        <v>10</v>
      </c>
      <c r="C12" s="15">
        <f>INT((B12-10)/2)</f>
        <v/>
      </c>
      <c r="D12" s="14" t="n"/>
      <c r="E12" s="15">
        <f>C12+IF(D12="✓",$B$5,0)-2*$A$24</f>
        <v/>
      </c>
    </row>
    <row r="13">
      <c r="A13" s="17" t="inlineStr">
        <is>
          <t>WIS</t>
        </is>
      </c>
      <c r="B13" s="14" t="n">
        <v>10</v>
      </c>
      <c r="C13" s="15">
        <f>INT((B13-10)/2)</f>
        <v/>
      </c>
      <c r="D13" s="14" t="n"/>
      <c r="E13" s="15">
        <f>C13+IF(D13="✓",$B$5,0)-2*$A$24</f>
        <v/>
      </c>
    </row>
    <row r="14">
      <c r="A14" s="17" t="inlineStr">
        <is>
          <t>CHA</t>
        </is>
      </c>
      <c r="B14" s="14" t="n">
        <v>10</v>
      </c>
      <c r="C14" s="15">
        <f>INT((B14-10)/2)</f>
        <v/>
      </c>
      <c r="D14" s="14" t="n"/>
      <c r="E14" s="15">
        <f>C14+IF(D14="✓",$B$5,0)-2*$A$24</f>
        <v/>
      </c>
    </row>
    <row r="15" ht="30" customHeight="1">
      <c r="A15" s="18" t="inlineStr">
        <is>
          <t>Each level of exhaustion applies -2 to all d20 tests. The Save column already includes this.</t>
        </is>
      </c>
    </row>
    <row r="17" ht="22" customHeight="1">
      <c r="A17" s="6" t="inlineStr">
        <is>
          <t>Combat &amp; Hit Points</t>
        </is>
      </c>
    </row>
    <row r="18">
      <c r="A18" s="16" t="inlineStr">
        <is>
          <t>AC</t>
        </is>
      </c>
      <c r="B18" s="16" t="inlineStr">
        <is>
          <t>Hit Dice (total)</t>
        </is>
      </c>
      <c r="C18" s="16" t="inlineStr">
        <is>
          <t>Max HP</t>
        </is>
      </c>
      <c r="D18" s="16" t="inlineStr">
        <is>
          <t>Current HP</t>
        </is>
      </c>
      <c r="E18" s="16" t="inlineStr">
        <is>
          <t>Temp HP</t>
        </is>
      </c>
      <c r="F18" s="19" t="inlineStr"/>
      <c r="G18" s="19" t="inlineStr"/>
      <c r="H18" s="19" t="inlineStr"/>
      <c r="I18" s="19" t="inlineStr"/>
      <c r="J18" s="19" t="inlineStr"/>
    </row>
    <row r="19">
      <c r="A19" s="14" t="n">
        <v>10</v>
      </c>
      <c r="B19" s="14" t="inlineStr"/>
      <c r="C19" s="15">
        <f>IFERROR(XLOOKUP($F$3,ClassDB[Class],ClassDB[HitDieMax])+C11,0)</f>
        <v/>
      </c>
      <c r="D19" s="14" t="inlineStr"/>
      <c r="E19" s="14" t="n">
        <v>0</v>
      </c>
      <c r="F19" s="10" t="inlineStr"/>
      <c r="G19" s="10" t="inlineStr"/>
      <c r="H19" s="10" t="inlineStr"/>
      <c r="I19" s="10" t="inlineStr"/>
      <c r="J19" s="10" t="inlineStr"/>
    </row>
    <row r="20" ht="30" customHeight="1">
      <c r="A20" s="18" t="inlineStr">
        <is>
          <t>House rule: Max HP = (Class HP-die maximum) + CON modifier. Auto-computed from class selection; does not scale with level.</t>
        </is>
      </c>
    </row>
    <row r="22" ht="22" customHeight="1">
      <c r="A22" s="3" t="inlineStr">
        <is>
          <t>Homebrew Trackers</t>
        </is>
      </c>
    </row>
    <row r="23">
      <c r="A23" s="20" t="inlineStr">
        <is>
          <t>Exhaustion (0-6)</t>
        </is>
      </c>
      <c r="B23" s="20" t="inlineStr">
        <is>
          <t>Death Tally</t>
        </is>
      </c>
      <c r="C23" s="20" t="inlineStr">
        <is>
          <t>STR Score</t>
        </is>
      </c>
      <c r="D23" s="20" t="inlineStr">
        <is>
          <t>Item Slots Used</t>
        </is>
      </c>
      <c r="E23" s="20" t="inlineStr">
        <is>
          <t>Total Slots Used</t>
        </is>
      </c>
      <c r="F23" s="20" t="inlineStr">
        <is>
          <t>Slots Free</t>
        </is>
      </c>
      <c r="G23" s="20" t="inlineStr">
        <is>
          <t>d20 Penalty</t>
        </is>
      </c>
      <c r="H23" s="20" t="inlineStr">
        <is>
          <t>Speed Penalty</t>
        </is>
      </c>
    </row>
    <row r="24">
      <c r="A24" s="14" t="n">
        <v>0</v>
      </c>
      <c r="B24" s="14" t="n">
        <v>0</v>
      </c>
      <c r="C24" s="15">
        <f>B9</f>
        <v/>
      </c>
      <c r="D24" s="15">
        <f>Inventory!$C$4</f>
        <v/>
      </c>
      <c r="E24" s="15">
        <f>A24+D24</f>
        <v/>
      </c>
      <c r="F24" s="15">
        <f>C24-E24</f>
        <v/>
      </c>
      <c r="G24" s="15">
        <f>-2*A24</f>
        <v/>
      </c>
      <c r="H24" s="15">
        <f>-5*A24</f>
        <v/>
      </c>
    </row>
    <row r="25" ht="30" customHeight="1">
      <c r="A25" s="18" t="inlineStr">
        <is>
          <t>Slot Total = STR. Total Used = items + exhaustion. Slots Free turns red when it goes negative. Initiative = DEX score (read off the DEX row).</t>
        </is>
      </c>
    </row>
    <row r="27" ht="22" customHeight="1">
      <c r="A27" s="6" t="inlineStr">
        <is>
          <t>Skills</t>
        </is>
      </c>
    </row>
    <row r="28">
      <c r="A28" s="16" t="inlineStr">
        <is>
          <t>Skill</t>
        </is>
      </c>
      <c r="B28" s="16" t="inlineStr">
        <is>
          <t>Ability</t>
        </is>
      </c>
      <c r="C28" s="16" t="inlineStr">
        <is>
          <t>Prof?</t>
        </is>
      </c>
      <c r="D28" s="16" t="inlineStr">
        <is>
          <t>Expertise?</t>
        </is>
      </c>
      <c r="E28" s="16" t="inlineStr">
        <is>
          <t>Modifier</t>
        </is>
      </c>
      <c r="F28" s="16" t="inlineStr">
        <is>
          <t>Notes</t>
        </is>
      </c>
      <c r="G28" s="21" t="n"/>
      <c r="H28" s="21" t="n"/>
      <c r="I28" s="21" t="n"/>
      <c r="J28" s="22" t="n"/>
    </row>
    <row r="29">
      <c r="A29" s="4" t="inlineStr">
        <is>
          <t>Acrobatics</t>
        </is>
      </c>
      <c r="B29" s="23" t="inlineStr">
        <is>
          <t>DEX</t>
        </is>
      </c>
      <c r="C29" s="14" t="n"/>
      <c r="D29" s="14" t="n"/>
      <c r="E29" s="15">
        <f>C10+IF(C29="✓",IF(D29="✓",2,1)*$B$5,0)-2*$A$24</f>
        <v/>
      </c>
      <c r="F29" s="13" t="n"/>
      <c r="G29" s="21" t="n"/>
      <c r="H29" s="21" t="n"/>
      <c r="I29" s="21" t="n"/>
      <c r="J29" s="22" t="n"/>
    </row>
    <row r="30">
      <c r="A30" s="4" t="inlineStr">
        <is>
          <t>Animal Handling</t>
        </is>
      </c>
      <c r="B30" s="23" t="inlineStr">
        <is>
          <t>WIS</t>
        </is>
      </c>
      <c r="C30" s="14" t="n"/>
      <c r="D30" s="14" t="n"/>
      <c r="E30" s="15">
        <f>C13+IF(C30="✓",IF(D30="✓",2,1)*$B$5,0)-2*$A$24</f>
        <v/>
      </c>
      <c r="F30" s="13" t="n"/>
      <c r="G30" s="21" t="n"/>
      <c r="H30" s="21" t="n"/>
      <c r="I30" s="21" t="n"/>
      <c r="J30" s="22" t="n"/>
    </row>
    <row r="31">
      <c r="A31" s="4" t="inlineStr">
        <is>
          <t>Arcana</t>
        </is>
      </c>
      <c r="B31" s="23" t="inlineStr">
        <is>
          <t>INT</t>
        </is>
      </c>
      <c r="C31" s="14" t="n"/>
      <c r="D31" s="14" t="n"/>
      <c r="E31" s="15">
        <f>C12+IF(C31="✓",IF(D31="✓",2,1)*$B$5,0)-2*$A$24</f>
        <v/>
      </c>
      <c r="F31" s="13" t="n"/>
      <c r="G31" s="21" t="n"/>
      <c r="H31" s="21" t="n"/>
      <c r="I31" s="21" t="n"/>
      <c r="J31" s="22" t="n"/>
    </row>
    <row r="32">
      <c r="A32" s="4" t="inlineStr">
        <is>
          <t>Athletics</t>
        </is>
      </c>
      <c r="B32" s="23" t="inlineStr">
        <is>
          <t>STR</t>
        </is>
      </c>
      <c r="C32" s="14" t="n"/>
      <c r="D32" s="14" t="n"/>
      <c r="E32" s="15">
        <f>C9+IF(C32="✓",IF(D32="✓",2,1)*$B$5,0)-2*$A$24</f>
        <v/>
      </c>
      <c r="F32" s="13" t="n"/>
      <c r="G32" s="21" t="n"/>
      <c r="H32" s="21" t="n"/>
      <c r="I32" s="21" t="n"/>
      <c r="J32" s="22" t="n"/>
    </row>
    <row r="33">
      <c r="A33" s="4" t="inlineStr">
        <is>
          <t>Deception</t>
        </is>
      </c>
      <c r="B33" s="23" t="inlineStr">
        <is>
          <t>CHA</t>
        </is>
      </c>
      <c r="C33" s="14" t="n"/>
      <c r="D33" s="14" t="n"/>
      <c r="E33" s="15">
        <f>C14+IF(C33="✓",IF(D33="✓",2,1)*$B$5,0)-2*$A$24</f>
        <v/>
      </c>
      <c r="F33" s="13" t="n"/>
      <c r="G33" s="21" t="n"/>
      <c r="H33" s="21" t="n"/>
      <c r="I33" s="21" t="n"/>
      <c r="J33" s="22" t="n"/>
    </row>
    <row r="34">
      <c r="A34" s="4" t="inlineStr">
        <is>
          <t>History</t>
        </is>
      </c>
      <c r="B34" s="23" t="inlineStr">
        <is>
          <t>INT</t>
        </is>
      </c>
      <c r="C34" s="14" t="n"/>
      <c r="D34" s="14" t="n"/>
      <c r="E34" s="15">
        <f>C12+IF(C34="✓",IF(D34="✓",2,1)*$B$5,0)-2*$A$24</f>
        <v/>
      </c>
      <c r="F34" s="13" t="n"/>
      <c r="G34" s="21" t="n"/>
      <c r="H34" s="21" t="n"/>
      <c r="I34" s="21" t="n"/>
      <c r="J34" s="22" t="n"/>
    </row>
    <row r="35">
      <c r="A35" s="4" t="inlineStr">
        <is>
          <t>Insight</t>
        </is>
      </c>
      <c r="B35" s="23" t="inlineStr">
        <is>
          <t>WIS</t>
        </is>
      </c>
      <c r="C35" s="14" t="n"/>
      <c r="D35" s="14" t="n"/>
      <c r="E35" s="15">
        <f>C13+IF(C35="✓",IF(D35="✓",2,1)*$B$5,0)-2*$A$24</f>
        <v/>
      </c>
      <c r="F35" s="13" t="n"/>
      <c r="G35" s="21" t="n"/>
      <c r="H35" s="21" t="n"/>
      <c r="I35" s="21" t="n"/>
      <c r="J35" s="22" t="n"/>
    </row>
    <row r="36">
      <c r="A36" s="4" t="inlineStr">
        <is>
          <t>Intimidation</t>
        </is>
      </c>
      <c r="B36" s="23" t="inlineStr">
        <is>
          <t>CHA</t>
        </is>
      </c>
      <c r="C36" s="14" t="n"/>
      <c r="D36" s="14" t="n"/>
      <c r="E36" s="15">
        <f>C14+IF(C36="✓",IF(D36="✓",2,1)*$B$5,0)-2*$A$24</f>
        <v/>
      </c>
      <c r="F36" s="13" t="n"/>
      <c r="G36" s="21" t="n"/>
      <c r="H36" s="21" t="n"/>
      <c r="I36" s="21" t="n"/>
      <c r="J36" s="22" t="n"/>
    </row>
    <row r="37">
      <c r="A37" s="4" t="inlineStr">
        <is>
          <t>Investigation</t>
        </is>
      </c>
      <c r="B37" s="23" t="inlineStr">
        <is>
          <t>INT</t>
        </is>
      </c>
      <c r="C37" s="14" t="n"/>
      <c r="D37" s="14" t="n"/>
      <c r="E37" s="15">
        <f>C12+IF(C37="✓",IF(D37="✓",2,1)*$B$5,0)-2*$A$24</f>
        <v/>
      </c>
      <c r="F37" s="13" t="n"/>
      <c r="G37" s="21" t="n"/>
      <c r="H37" s="21" t="n"/>
      <c r="I37" s="21" t="n"/>
      <c r="J37" s="22" t="n"/>
    </row>
    <row r="38">
      <c r="A38" s="4" t="inlineStr">
        <is>
          <t>Medicine</t>
        </is>
      </c>
      <c r="B38" s="23" t="inlineStr">
        <is>
          <t>WIS</t>
        </is>
      </c>
      <c r="C38" s="14" t="n"/>
      <c r="D38" s="14" t="n"/>
      <c r="E38" s="15">
        <f>C13+IF(C38="✓",IF(D38="✓",2,1)*$B$5,0)-2*$A$24</f>
        <v/>
      </c>
      <c r="F38" s="13" t="n"/>
      <c r="G38" s="21" t="n"/>
      <c r="H38" s="21" t="n"/>
      <c r="I38" s="21" t="n"/>
      <c r="J38" s="22" t="n"/>
    </row>
    <row r="39">
      <c r="A39" s="4" t="inlineStr">
        <is>
          <t>Nature</t>
        </is>
      </c>
      <c r="B39" s="23" t="inlineStr">
        <is>
          <t>INT</t>
        </is>
      </c>
      <c r="C39" s="14" t="n"/>
      <c r="D39" s="14" t="n"/>
      <c r="E39" s="15">
        <f>C12+IF(C39="✓",IF(D39="✓",2,1)*$B$5,0)-2*$A$24</f>
        <v/>
      </c>
      <c r="F39" s="13" t="n"/>
      <c r="G39" s="21" t="n"/>
      <c r="H39" s="21" t="n"/>
      <c r="I39" s="21" t="n"/>
      <c r="J39" s="22" t="n"/>
    </row>
    <row r="40">
      <c r="A40" s="4" t="inlineStr">
        <is>
          <t>Perception</t>
        </is>
      </c>
      <c r="B40" s="23" t="inlineStr">
        <is>
          <t>WIS</t>
        </is>
      </c>
      <c r="C40" s="14" t="n"/>
      <c r="D40" s="14" t="n"/>
      <c r="E40" s="15">
        <f>C13+IF(C40="✓",IF(D40="✓",2,1)*$B$5,0)-2*$A$24</f>
        <v/>
      </c>
      <c r="F40" s="13" t="n"/>
      <c r="G40" s="21" t="n"/>
      <c r="H40" s="21" t="n"/>
      <c r="I40" s="21" t="n"/>
      <c r="J40" s="22" t="n"/>
    </row>
    <row r="41">
      <c r="A41" s="4" t="inlineStr">
        <is>
          <t>Performance</t>
        </is>
      </c>
      <c r="B41" s="23" t="inlineStr">
        <is>
          <t>CHA</t>
        </is>
      </c>
      <c r="C41" s="14" t="n"/>
      <c r="D41" s="14" t="n"/>
      <c r="E41" s="15">
        <f>C14+IF(C41="✓",IF(D41="✓",2,1)*$B$5,0)-2*$A$24</f>
        <v/>
      </c>
      <c r="F41" s="13" t="n"/>
      <c r="G41" s="21" t="n"/>
      <c r="H41" s="21" t="n"/>
      <c r="I41" s="21" t="n"/>
      <c r="J41" s="22" t="n"/>
    </row>
    <row r="42">
      <c r="A42" s="4" t="inlineStr">
        <is>
          <t>Persuasion</t>
        </is>
      </c>
      <c r="B42" s="23" t="inlineStr">
        <is>
          <t>CHA</t>
        </is>
      </c>
      <c r="C42" s="14" t="n"/>
      <c r="D42" s="14" t="n"/>
      <c r="E42" s="15">
        <f>C14+IF(C42="✓",IF(D42="✓",2,1)*$B$5,0)-2*$A$24</f>
        <v/>
      </c>
      <c r="F42" s="13" t="n"/>
      <c r="G42" s="21" t="n"/>
      <c r="H42" s="21" t="n"/>
      <c r="I42" s="21" t="n"/>
      <c r="J42" s="22" t="n"/>
    </row>
    <row r="43">
      <c r="A43" s="4" t="inlineStr">
        <is>
          <t>Religion</t>
        </is>
      </c>
      <c r="B43" s="23" t="inlineStr">
        <is>
          <t>INT</t>
        </is>
      </c>
      <c r="C43" s="14" t="n"/>
      <c r="D43" s="14" t="n"/>
      <c r="E43" s="15">
        <f>C12+IF(C43="✓",IF(D43="✓",2,1)*$B$5,0)-2*$A$24</f>
        <v/>
      </c>
      <c r="F43" s="13" t="n"/>
      <c r="G43" s="21" t="n"/>
      <c r="H43" s="21" t="n"/>
      <c r="I43" s="21" t="n"/>
      <c r="J43" s="22" t="n"/>
    </row>
    <row r="44">
      <c r="A44" s="4" t="inlineStr">
        <is>
          <t>Sleight of Hand</t>
        </is>
      </c>
      <c r="B44" s="23" t="inlineStr">
        <is>
          <t>DEX</t>
        </is>
      </c>
      <c r="C44" s="14" t="n"/>
      <c r="D44" s="14" t="n"/>
      <c r="E44" s="15">
        <f>C10+IF(C44="✓",IF(D44="✓",2,1)*$B$5,0)-2*$A$24</f>
        <v/>
      </c>
      <c r="F44" s="13" t="n"/>
      <c r="G44" s="21" t="n"/>
      <c r="H44" s="21" t="n"/>
      <c r="I44" s="21" t="n"/>
      <c r="J44" s="22" t="n"/>
    </row>
    <row r="45">
      <c r="A45" s="4" t="inlineStr">
        <is>
          <t>Stealth</t>
        </is>
      </c>
      <c r="B45" s="23" t="inlineStr">
        <is>
          <t>DEX</t>
        </is>
      </c>
      <c r="C45" s="14" t="n"/>
      <c r="D45" s="14" t="n"/>
      <c r="E45" s="15">
        <f>C10+IF(C45="✓",IF(D45="✓",2,1)*$B$5,0)-2*$A$24</f>
        <v/>
      </c>
      <c r="F45" s="13" t="n"/>
      <c r="G45" s="21" t="n"/>
      <c r="H45" s="21" t="n"/>
      <c r="I45" s="21" t="n"/>
      <c r="J45" s="22" t="n"/>
    </row>
    <row r="46">
      <c r="A46" s="4" t="inlineStr">
        <is>
          <t>Survival</t>
        </is>
      </c>
      <c r="B46" s="23" t="inlineStr">
        <is>
          <t>WIS</t>
        </is>
      </c>
      <c r="C46" s="14" t="n"/>
      <c r="D46" s="14" t="n"/>
      <c r="E46" s="15">
        <f>C13+IF(C46="✓",IF(D46="✓",2,1)*$B$5,0)-2*$A$24</f>
        <v/>
      </c>
      <c r="F46" s="13" t="n"/>
      <c r="G46" s="21" t="n"/>
      <c r="H46" s="21" t="n"/>
      <c r="I46" s="21" t="n"/>
      <c r="J46" s="22" t="n"/>
    </row>
  </sheetData>
  <mergeCells count="29">
    <mergeCell ref="F44:J44"/>
    <mergeCell ref="F29:J29"/>
    <mergeCell ref="A22:J22"/>
    <mergeCell ref="A17:J17"/>
    <mergeCell ref="F34:J34"/>
    <mergeCell ref="A20:J20"/>
    <mergeCell ref="F40:J40"/>
    <mergeCell ref="F30:J30"/>
    <mergeCell ref="F36:J36"/>
    <mergeCell ref="A15:J15"/>
    <mergeCell ref="F42:J42"/>
    <mergeCell ref="F33:J33"/>
    <mergeCell ref="F45:J45"/>
    <mergeCell ref="F41:J41"/>
    <mergeCell ref="F35:J35"/>
    <mergeCell ref="F32:J32"/>
    <mergeCell ref="A1:J1"/>
    <mergeCell ref="F38:J38"/>
    <mergeCell ref="B4:D4"/>
    <mergeCell ref="F28:J28"/>
    <mergeCell ref="A7:J7"/>
    <mergeCell ref="F31:J31"/>
    <mergeCell ref="F46:J46"/>
    <mergeCell ref="A25:J25"/>
    <mergeCell ref="B3:D3"/>
    <mergeCell ref="F43:J43"/>
    <mergeCell ref="F37:J37"/>
    <mergeCell ref="F39:J39"/>
    <mergeCell ref="A27:J27"/>
  </mergeCells>
  <conditionalFormatting sqref="F24">
    <cfRule type="expression" priority="1" dxfId="0">
      <formula>$F$24&lt;0</formula>
    </cfRule>
  </conditionalFormatting>
  <dataValidations count="4">
    <dataValidation sqref="F3" showDropDown="0" showInputMessage="0" showErrorMessage="0" allowBlank="1" type="list">
      <formula1>=ClassDB[Class]</formula1>
    </dataValidation>
    <dataValidation sqref="A24" showDropDown="0" showInputMessage="0" showErrorMessage="1" allowBlank="0" errorTitle="Out of range" error="Exhaustion is tracked 0–6. At 6 the character dies." type="whole" operator="between">
      <formula1>0</formula1>
      <formula2>6</formula2>
    </dataValidation>
    <dataValidation sqref="B24" showDropDown="0" showInputMessage="0" showErrorMessage="0" allowBlank="1" type="whole" operator="between">
      <formula1>0</formula1>
      <formula2>4</formula2>
    </dataValidation>
    <dataValidation sqref="C29 C30 C31 C32 C33 C34 C35 C36 C37 C38 C39 C40 C41 C42 C43 C44 C45 C46 D9 D10 D11 D12 D13 D14 D29 D30 D31 D32 D33 D34 D35 D36 D37 D38 D39 D40 D41 D42 D43 D44 D45 D46"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3A2F2A"/>
    <outlinePr summaryBelow="1" summaryRight="1"/>
    <pageSetUpPr/>
  </sheetPr>
  <dimension ref="A1:E58"/>
  <sheetViews>
    <sheetView workbookViewId="0">
      <selection activeCell="A1" sqref="A1"/>
    </sheetView>
  </sheetViews>
  <sheetFormatPr baseColWidth="8" defaultRowHeight="15"/>
  <cols>
    <col width="6" customWidth="1" min="1" max="1"/>
    <col width="30" customWidth="1" min="2" max="2"/>
    <col width="10" customWidth="1" min="3" max="3"/>
    <col width="10" customWidth="1" min="4" max="4"/>
    <col width="60" customWidth="1" min="5" max="5"/>
  </cols>
  <sheetData>
    <row r="1" ht="32" customHeight="1">
      <c r="A1" s="1" t="inlineStr">
        <is>
          <t>Inventory</t>
        </is>
      </c>
    </row>
    <row r="3">
      <c r="A3" s="20" t="inlineStr">
        <is>
          <t>STR Slots</t>
        </is>
      </c>
      <c r="B3" s="20" t="inlineStr">
        <is>
          <t>Exhaustion Slots</t>
        </is>
      </c>
      <c r="C3" s="20" t="inlineStr">
        <is>
          <t>Item Slots Used</t>
        </is>
      </c>
      <c r="D3" s="20" t="inlineStr">
        <is>
          <t>Total Used</t>
        </is>
      </c>
      <c r="E3" s="20" t="inlineStr">
        <is>
          <t>Free</t>
        </is>
      </c>
    </row>
    <row r="4">
      <c r="A4" s="15">
        <f>Character!B9</f>
        <v/>
      </c>
      <c r="B4" s="15">
        <f>Character!$A$24</f>
        <v/>
      </c>
      <c r="C4" s="15">
        <f>SUM($C$9:$C$58)</f>
        <v/>
      </c>
      <c r="D4" s="15">
        <f>B4+C4</f>
        <v/>
      </c>
      <c r="E4" s="15">
        <f>A4-D4</f>
        <v/>
      </c>
    </row>
    <row r="5" ht="30" customHeight="1">
      <c r="A5" s="18" t="inlineStr">
        <is>
          <t>Each level of exhaustion auto-occupies one slot. Set the Slot Cost for each item; the capacity bar reddens when total used exceeds STR.</t>
        </is>
      </c>
    </row>
    <row r="7" ht="22" customHeight="1">
      <c r="A7" s="6" t="inlineStr">
        <is>
          <t>Items</t>
        </is>
      </c>
    </row>
    <row r="8">
      <c r="A8" s="16" t="inlineStr">
        <is>
          <t>#</t>
        </is>
      </c>
      <c r="B8" s="16" t="inlineStr">
        <is>
          <t>Item</t>
        </is>
      </c>
      <c r="C8" s="16" t="inlineStr">
        <is>
          <t>Slot Cost</t>
        </is>
      </c>
      <c r="D8" s="16" t="inlineStr">
        <is>
          <t>Qty</t>
        </is>
      </c>
      <c r="E8" s="16" t="inlineStr">
        <is>
          <t>Notes</t>
        </is>
      </c>
    </row>
    <row r="9">
      <c r="A9" s="23" t="n">
        <v>1</v>
      </c>
      <c r="B9" s="13" t="n"/>
      <c r="C9" s="14" t="inlineStr"/>
      <c r="D9" s="14" t="n"/>
      <c r="E9" s="13" t="n"/>
    </row>
    <row r="10">
      <c r="A10" s="23" t="n">
        <v>2</v>
      </c>
      <c r="B10" s="13" t="n"/>
      <c r="C10" s="14" t="inlineStr"/>
      <c r="D10" s="14" t="n"/>
      <c r="E10" s="13" t="n"/>
    </row>
    <row r="11">
      <c r="A11" s="23" t="n">
        <v>3</v>
      </c>
      <c r="B11" s="13" t="n"/>
      <c r="C11" s="14" t="inlineStr"/>
      <c r="D11" s="14" t="n"/>
      <c r="E11" s="13" t="n"/>
    </row>
    <row r="12">
      <c r="A12" s="23" t="n">
        <v>4</v>
      </c>
      <c r="B12" s="13" t="n"/>
      <c r="C12" s="14" t="inlineStr"/>
      <c r="D12" s="14" t="n"/>
      <c r="E12" s="13" t="n"/>
    </row>
    <row r="13">
      <c r="A13" s="23" t="n">
        <v>5</v>
      </c>
      <c r="B13" s="13" t="n"/>
      <c r="C13" s="14" t="inlineStr"/>
      <c r="D13" s="14" t="n"/>
      <c r="E13" s="13" t="n"/>
    </row>
    <row r="14">
      <c r="A14" s="23" t="n">
        <v>6</v>
      </c>
      <c r="B14" s="13" t="n"/>
      <c r="C14" s="14" t="inlineStr"/>
      <c r="D14" s="14" t="n"/>
      <c r="E14" s="13" t="n"/>
    </row>
    <row r="15">
      <c r="A15" s="23" t="n">
        <v>7</v>
      </c>
      <c r="B15" s="13" t="n"/>
      <c r="C15" s="14" t="inlineStr"/>
      <c r="D15" s="14" t="n"/>
      <c r="E15" s="13" t="n"/>
    </row>
    <row r="16">
      <c r="A16" s="23" t="n">
        <v>8</v>
      </c>
      <c r="B16" s="13" t="n"/>
      <c r="C16" s="14" t="inlineStr"/>
      <c r="D16" s="14" t="n"/>
      <c r="E16" s="13" t="n"/>
    </row>
    <row r="17">
      <c r="A17" s="23" t="n">
        <v>9</v>
      </c>
      <c r="B17" s="13" t="n"/>
      <c r="C17" s="14" t="inlineStr"/>
      <c r="D17" s="14" t="n"/>
      <c r="E17" s="13" t="n"/>
    </row>
    <row r="18">
      <c r="A18" s="23" t="n">
        <v>10</v>
      </c>
      <c r="B18" s="13" t="n"/>
      <c r="C18" s="14" t="inlineStr"/>
      <c r="D18" s="14" t="n"/>
      <c r="E18" s="13" t="n"/>
    </row>
    <row r="19">
      <c r="A19" s="23" t="n">
        <v>11</v>
      </c>
      <c r="B19" s="13" t="n"/>
      <c r="C19" s="14" t="inlineStr"/>
      <c r="D19" s="14" t="n"/>
      <c r="E19" s="13" t="n"/>
    </row>
    <row r="20">
      <c r="A20" s="23" t="n">
        <v>12</v>
      </c>
      <c r="B20" s="13" t="n"/>
      <c r="C20" s="14" t="inlineStr"/>
      <c r="D20" s="14" t="n"/>
      <c r="E20" s="13" t="n"/>
    </row>
    <row r="21">
      <c r="A21" s="23" t="n">
        <v>13</v>
      </c>
      <c r="B21" s="13" t="n"/>
      <c r="C21" s="14" t="inlineStr"/>
      <c r="D21" s="14" t="n"/>
      <c r="E21" s="13" t="n"/>
    </row>
    <row r="22">
      <c r="A22" s="23" t="n">
        <v>14</v>
      </c>
      <c r="B22" s="13" t="n"/>
      <c r="C22" s="14" t="inlineStr"/>
      <c r="D22" s="14" t="n"/>
      <c r="E22" s="13" t="n"/>
    </row>
    <row r="23">
      <c r="A23" s="23" t="n">
        <v>15</v>
      </c>
      <c r="B23" s="13" t="n"/>
      <c r="C23" s="14" t="inlineStr"/>
      <c r="D23" s="14" t="n"/>
      <c r="E23" s="13" t="n"/>
    </row>
    <row r="24">
      <c r="A24" s="23" t="n">
        <v>16</v>
      </c>
      <c r="B24" s="13" t="n"/>
      <c r="C24" s="14" t="inlineStr"/>
      <c r="D24" s="14" t="n"/>
      <c r="E24" s="13" t="n"/>
    </row>
    <row r="25">
      <c r="A25" s="23" t="n">
        <v>17</v>
      </c>
      <c r="B25" s="13" t="n"/>
      <c r="C25" s="14" t="inlineStr"/>
      <c r="D25" s="14" t="n"/>
      <c r="E25" s="13" t="n"/>
    </row>
    <row r="26">
      <c r="A26" s="23" t="n">
        <v>18</v>
      </c>
      <c r="B26" s="13" t="n"/>
      <c r="C26" s="14" t="inlineStr"/>
      <c r="D26" s="14" t="n"/>
      <c r="E26" s="13" t="n"/>
    </row>
    <row r="27">
      <c r="A27" s="23" t="n">
        <v>19</v>
      </c>
      <c r="B27" s="13" t="n"/>
      <c r="C27" s="14" t="inlineStr"/>
      <c r="D27" s="14" t="n"/>
      <c r="E27" s="13" t="n"/>
    </row>
    <row r="28">
      <c r="A28" s="23" t="n">
        <v>20</v>
      </c>
      <c r="B28" s="13" t="n"/>
      <c r="C28" s="14" t="inlineStr"/>
      <c r="D28" s="14" t="n"/>
      <c r="E28" s="13" t="n"/>
    </row>
    <row r="29">
      <c r="A29" s="23" t="n">
        <v>21</v>
      </c>
      <c r="B29" s="13" t="n"/>
      <c r="C29" s="14" t="inlineStr"/>
      <c r="D29" s="14" t="n"/>
      <c r="E29" s="13" t="n"/>
    </row>
    <row r="30">
      <c r="A30" s="23" t="n">
        <v>22</v>
      </c>
      <c r="B30" s="13" t="n"/>
      <c r="C30" s="14" t="inlineStr"/>
      <c r="D30" s="14" t="n"/>
      <c r="E30" s="13" t="n"/>
    </row>
    <row r="31">
      <c r="A31" s="23" t="n">
        <v>23</v>
      </c>
      <c r="B31" s="13" t="n"/>
      <c r="C31" s="14" t="inlineStr"/>
      <c r="D31" s="14" t="n"/>
      <c r="E31" s="13" t="n"/>
    </row>
    <row r="32">
      <c r="A32" s="23" t="n">
        <v>24</v>
      </c>
      <c r="B32" s="13" t="n"/>
      <c r="C32" s="14" t="inlineStr"/>
      <c r="D32" s="14" t="n"/>
      <c r="E32" s="13" t="n"/>
    </row>
    <row r="33">
      <c r="A33" s="23" t="n">
        <v>25</v>
      </c>
      <c r="B33" s="13" t="n"/>
      <c r="C33" s="14" t="inlineStr"/>
      <c r="D33" s="14" t="n"/>
      <c r="E33" s="13" t="n"/>
    </row>
    <row r="34">
      <c r="A34" s="23" t="n">
        <v>26</v>
      </c>
      <c r="B34" s="13" t="n"/>
      <c r="C34" s="14" t="inlineStr"/>
      <c r="D34" s="14" t="n"/>
      <c r="E34" s="13" t="n"/>
    </row>
    <row r="35">
      <c r="A35" s="23" t="n">
        <v>27</v>
      </c>
      <c r="B35" s="13" t="n"/>
      <c r="C35" s="14" t="inlineStr"/>
      <c r="D35" s="14" t="n"/>
      <c r="E35" s="13" t="n"/>
    </row>
    <row r="36">
      <c r="A36" s="23" t="n">
        <v>28</v>
      </c>
      <c r="B36" s="13" t="n"/>
      <c r="C36" s="14" t="inlineStr"/>
      <c r="D36" s="14" t="n"/>
      <c r="E36" s="13" t="n"/>
    </row>
    <row r="37">
      <c r="A37" s="23" t="n">
        <v>29</v>
      </c>
      <c r="B37" s="13" t="n"/>
      <c r="C37" s="14" t="inlineStr"/>
      <c r="D37" s="14" t="n"/>
      <c r="E37" s="13" t="n"/>
    </row>
    <row r="38">
      <c r="A38" s="23" t="n">
        <v>30</v>
      </c>
      <c r="B38" s="13" t="n"/>
      <c r="C38" s="14" t="inlineStr"/>
      <c r="D38" s="14" t="n"/>
      <c r="E38" s="13" t="n"/>
    </row>
    <row r="39">
      <c r="A39" s="23" t="n">
        <v>31</v>
      </c>
      <c r="B39" s="13" t="n"/>
      <c r="C39" s="14" t="inlineStr"/>
      <c r="D39" s="14" t="n"/>
      <c r="E39" s="13" t="n"/>
    </row>
    <row r="40">
      <c r="A40" s="23" t="n">
        <v>32</v>
      </c>
      <c r="B40" s="13" t="n"/>
      <c r="C40" s="14" t="inlineStr"/>
      <c r="D40" s="14" t="n"/>
      <c r="E40" s="13" t="n"/>
    </row>
    <row r="41">
      <c r="A41" s="23" t="n">
        <v>33</v>
      </c>
      <c r="B41" s="13" t="n"/>
      <c r="C41" s="14" t="inlineStr"/>
      <c r="D41" s="14" t="n"/>
      <c r="E41" s="13" t="n"/>
    </row>
    <row r="42">
      <c r="A42" s="23" t="n">
        <v>34</v>
      </c>
      <c r="B42" s="13" t="n"/>
      <c r="C42" s="14" t="inlineStr"/>
      <c r="D42" s="14" t="n"/>
      <c r="E42" s="13" t="n"/>
    </row>
    <row r="43">
      <c r="A43" s="23" t="n">
        <v>35</v>
      </c>
      <c r="B43" s="13" t="n"/>
      <c r="C43" s="14" t="inlineStr"/>
      <c r="D43" s="14" t="n"/>
      <c r="E43" s="13" t="n"/>
    </row>
    <row r="44">
      <c r="A44" s="23" t="n">
        <v>36</v>
      </c>
      <c r="B44" s="13" t="n"/>
      <c r="C44" s="14" t="inlineStr"/>
      <c r="D44" s="14" t="n"/>
      <c r="E44" s="13" t="n"/>
    </row>
    <row r="45">
      <c r="A45" s="23" t="n">
        <v>37</v>
      </c>
      <c r="B45" s="13" t="n"/>
      <c r="C45" s="14" t="inlineStr"/>
      <c r="D45" s="14" t="n"/>
      <c r="E45" s="13" t="n"/>
    </row>
    <row r="46">
      <c r="A46" s="23" t="n">
        <v>38</v>
      </c>
      <c r="B46" s="13" t="n"/>
      <c r="C46" s="14" t="inlineStr"/>
      <c r="D46" s="14" t="n"/>
      <c r="E46" s="13" t="n"/>
    </row>
    <row r="47">
      <c r="A47" s="23" t="n">
        <v>39</v>
      </c>
      <c r="B47" s="13" t="n"/>
      <c r="C47" s="14" t="inlineStr"/>
      <c r="D47" s="14" t="n"/>
      <c r="E47" s="13" t="n"/>
    </row>
    <row r="48">
      <c r="A48" s="23" t="n">
        <v>40</v>
      </c>
      <c r="B48" s="13" t="n"/>
      <c r="C48" s="14" t="inlineStr"/>
      <c r="D48" s="14" t="n"/>
      <c r="E48" s="13" t="n"/>
    </row>
    <row r="49">
      <c r="A49" s="23" t="n">
        <v>41</v>
      </c>
      <c r="B49" s="13" t="n"/>
      <c r="C49" s="14" t="inlineStr"/>
      <c r="D49" s="14" t="n"/>
      <c r="E49" s="13" t="n"/>
    </row>
    <row r="50">
      <c r="A50" s="23" t="n">
        <v>42</v>
      </c>
      <c r="B50" s="13" t="n"/>
      <c r="C50" s="14" t="inlineStr"/>
      <c r="D50" s="14" t="n"/>
      <c r="E50" s="13" t="n"/>
    </row>
    <row r="51">
      <c r="A51" s="23" t="n">
        <v>43</v>
      </c>
      <c r="B51" s="13" t="n"/>
      <c r="C51" s="14" t="inlineStr"/>
      <c r="D51" s="14" t="n"/>
      <c r="E51" s="13" t="n"/>
    </row>
    <row r="52">
      <c r="A52" s="23" t="n">
        <v>44</v>
      </c>
      <c r="B52" s="13" t="n"/>
      <c r="C52" s="14" t="inlineStr"/>
      <c r="D52" s="14" t="n"/>
      <c r="E52" s="13" t="n"/>
    </row>
    <row r="53">
      <c r="A53" s="23" t="n">
        <v>45</v>
      </c>
      <c r="B53" s="13" t="n"/>
      <c r="C53" s="14" t="inlineStr"/>
      <c r="D53" s="14" t="n"/>
      <c r="E53" s="13" t="n"/>
    </row>
    <row r="54">
      <c r="A54" s="23" t="n">
        <v>46</v>
      </c>
      <c r="B54" s="13" t="n"/>
      <c r="C54" s="14" t="inlineStr"/>
      <c r="D54" s="14" t="n"/>
      <c r="E54" s="13" t="n"/>
    </row>
    <row r="55">
      <c r="A55" s="23" t="n">
        <v>47</v>
      </c>
      <c r="B55" s="13" t="n"/>
      <c r="C55" s="14" t="inlineStr"/>
      <c r="D55" s="14" t="n"/>
      <c r="E55" s="13" t="n"/>
    </row>
    <row r="56">
      <c r="A56" s="23" t="n">
        <v>48</v>
      </c>
      <c r="B56" s="13" t="n"/>
      <c r="C56" s="14" t="inlineStr"/>
      <c r="D56" s="14" t="n"/>
      <c r="E56" s="13" t="n"/>
    </row>
    <row r="57">
      <c r="A57" s="23" t="n">
        <v>49</v>
      </c>
      <c r="B57" s="13" t="n"/>
      <c r="C57" s="14" t="inlineStr"/>
      <c r="D57" s="14" t="n"/>
      <c r="E57" s="13" t="n"/>
    </row>
    <row r="58">
      <c r="A58" s="23" t="n">
        <v>50</v>
      </c>
      <c r="B58" s="13" t="n"/>
      <c r="C58" s="14" t="inlineStr"/>
      <c r="D58" s="14" t="n"/>
      <c r="E58" s="13" t="n"/>
    </row>
  </sheetData>
  <mergeCells count="3">
    <mergeCell ref="A1:E1"/>
    <mergeCell ref="A7:E7"/>
    <mergeCell ref="A5:E5"/>
  </mergeCells>
  <conditionalFormatting sqref="A4:E4">
    <cfRule type="expression" priority="1" dxfId="0">
      <formula>$E$4&lt;0</formula>
    </cfRule>
  </conditionalFormatting>
  <pageMargins left="0.75" right="0.75" top="1" bottom="1" header="0.5" footer="0.5"/>
</worksheet>
</file>

<file path=xl/worksheets/sheet4.xml><?xml version="1.0" encoding="utf-8"?>
<worksheet xmlns="http://schemas.openxmlformats.org/spreadsheetml/2006/main">
  <sheetPr>
    <tabColor rgb="006B2E2E"/>
    <outlinePr summaryBelow="1" summaryRight="1"/>
    <pageSetUpPr/>
  </sheetPr>
  <dimension ref="A1:J70"/>
  <sheetViews>
    <sheetView workbookViewId="0">
      <selection activeCell="A1" sqref="A1"/>
    </sheetView>
  </sheetViews>
  <sheetFormatPr baseColWidth="8" defaultRowHeight="15"/>
  <cols>
    <col width="22" customWidth="1" min="1" max="1"/>
    <col width="14" customWidth="1" min="2" max="2"/>
    <col width="12" customWidth="1" min="3" max="3"/>
    <col width="14" customWidth="1" min="4" max="4"/>
    <col width="12" customWidth="1" min="5" max="5"/>
    <col width="10" customWidth="1" min="6" max="6"/>
    <col width="12" customWidth="1" min="7" max="7"/>
    <col width="14" customWidth="1" min="8" max="8"/>
    <col width="30" customWidth="1" min="9" max="9"/>
    <col width="30" customWidth="1" min="10" max="10"/>
  </cols>
  <sheetData>
    <row r="1" ht="32" customHeight="1">
      <c r="A1" s="1" t="inlineStr">
        <is>
          <t>Combat &amp; Spells</t>
        </is>
      </c>
    </row>
    <row r="3" ht="22" customHeight="1">
      <c r="A3" s="6" t="inlineStr">
        <is>
          <t>Weapons &amp; Attacks</t>
        </is>
      </c>
    </row>
    <row r="4">
      <c r="A4" s="16" t="inlineStr">
        <is>
          <t>Name</t>
        </is>
      </c>
      <c r="B4" s="16" t="inlineStr">
        <is>
          <t>Ability</t>
        </is>
      </c>
      <c r="C4" s="16" t="inlineStr">
        <is>
          <t>Prof?</t>
        </is>
      </c>
      <c r="D4" s="16" t="inlineStr">
        <is>
          <t>Attack Bonus</t>
        </is>
      </c>
      <c r="E4" s="16" t="inlineStr">
        <is>
          <t>Damage</t>
        </is>
      </c>
      <c r="F4" s="16" t="inlineStr">
        <is>
          <t>Range</t>
        </is>
      </c>
      <c r="G4" s="16" t="inlineStr">
        <is>
          <t>Type</t>
        </is>
      </c>
      <c r="H4" s="16" t="inlineStr">
        <is>
          <t>Ammo / Uses</t>
        </is>
      </c>
      <c r="I4" s="16" t="inlineStr">
        <is>
          <t>Notes</t>
        </is>
      </c>
      <c r="J4" s="19" t="inlineStr"/>
    </row>
    <row r="5">
      <c r="A5" s="13" t="n"/>
      <c r="B5" s="13" t="n"/>
      <c r="C5" s="13" t="n"/>
      <c r="D5" s="13" t="n"/>
      <c r="E5" s="13" t="n"/>
      <c r="F5" s="13" t="n"/>
      <c r="G5" s="13" t="n"/>
      <c r="H5" s="13" t="n"/>
      <c r="I5" s="13" t="n"/>
      <c r="J5" s="13" t="n"/>
    </row>
    <row r="6">
      <c r="A6" s="13" t="n"/>
      <c r="B6" s="13" t="n"/>
      <c r="C6" s="13" t="n"/>
      <c r="D6" s="13" t="n"/>
      <c r="E6" s="13" t="n"/>
      <c r="F6" s="13" t="n"/>
      <c r="G6" s="13" t="n"/>
      <c r="H6" s="13" t="n"/>
      <c r="I6" s="13" t="n"/>
      <c r="J6" s="13" t="n"/>
    </row>
    <row r="7">
      <c r="A7" s="13" t="n"/>
      <c r="B7" s="13" t="n"/>
      <c r="C7" s="13" t="n"/>
      <c r="D7" s="13" t="n"/>
      <c r="E7" s="13" t="n"/>
      <c r="F7" s="13" t="n"/>
      <c r="G7" s="13" t="n"/>
      <c r="H7" s="13" t="n"/>
      <c r="I7" s="13" t="n"/>
      <c r="J7" s="13" t="n"/>
    </row>
    <row r="8">
      <c r="A8" s="13" t="n"/>
      <c r="B8" s="13" t="n"/>
      <c r="C8" s="13" t="n"/>
      <c r="D8" s="13" t="n"/>
      <c r="E8" s="13" t="n"/>
      <c r="F8" s="13" t="n"/>
      <c r="G8" s="13" t="n"/>
      <c r="H8" s="13" t="n"/>
      <c r="I8" s="13" t="n"/>
      <c r="J8" s="13" t="n"/>
    </row>
    <row r="9">
      <c r="A9" s="13" t="n"/>
      <c r="B9" s="13" t="n"/>
      <c r="C9" s="13" t="n"/>
      <c r="D9" s="13" t="n"/>
      <c r="E9" s="13" t="n"/>
      <c r="F9" s="13" t="n"/>
      <c r="G9" s="13" t="n"/>
      <c r="H9" s="13" t="n"/>
      <c r="I9" s="13" t="n"/>
      <c r="J9" s="13" t="n"/>
    </row>
    <row r="10">
      <c r="A10" s="13" t="n"/>
      <c r="B10" s="13" t="n"/>
      <c r="C10" s="13" t="n"/>
      <c r="D10" s="13" t="n"/>
      <c r="E10" s="13" t="n"/>
      <c r="F10" s="13" t="n"/>
      <c r="G10" s="13" t="n"/>
      <c r="H10" s="13" t="n"/>
      <c r="I10" s="13" t="n"/>
      <c r="J10" s="13" t="n"/>
    </row>
    <row r="11">
      <c r="A11" s="13" t="n"/>
      <c r="B11" s="13" t="n"/>
      <c r="C11" s="13" t="n"/>
      <c r="D11" s="13" t="n"/>
      <c r="E11" s="13" t="n"/>
      <c r="F11" s="13" t="n"/>
      <c r="G11" s="13" t="n"/>
      <c r="H11" s="13" t="n"/>
      <c r="I11" s="13" t="n"/>
      <c r="J11" s="13" t="n"/>
    </row>
    <row r="12">
      <c r="A12" s="13" t="n"/>
      <c r="B12" s="13" t="n"/>
      <c r="C12" s="13" t="n"/>
      <c r="D12" s="13" t="n"/>
      <c r="E12" s="13" t="n"/>
      <c r="F12" s="13" t="n"/>
      <c r="G12" s="13" t="n"/>
      <c r="H12" s="13" t="n"/>
      <c r="I12" s="13" t="n"/>
      <c r="J12" s="13" t="n"/>
    </row>
    <row r="13">
      <c r="A13" s="13" t="n"/>
      <c r="B13" s="13" t="n"/>
      <c r="C13" s="13" t="n"/>
      <c r="D13" s="13" t="n"/>
      <c r="E13" s="13" t="n"/>
      <c r="F13" s="13" t="n"/>
      <c r="G13" s="13" t="n"/>
      <c r="H13" s="13" t="n"/>
      <c r="I13" s="13" t="n"/>
      <c r="J13" s="13" t="n"/>
    </row>
    <row r="14">
      <c r="A14" s="13" t="n"/>
      <c r="B14" s="13" t="n"/>
      <c r="C14" s="13" t="n"/>
      <c r="D14" s="13" t="n"/>
      <c r="E14" s="13" t="n"/>
      <c r="F14" s="13" t="n"/>
      <c r="G14" s="13" t="n"/>
      <c r="H14" s="13" t="n"/>
      <c r="I14" s="13" t="n"/>
      <c r="J14" s="13" t="n"/>
    </row>
    <row r="17" ht="22" customHeight="1">
      <c r="A17" s="6" t="inlineStr">
        <is>
          <t>Spellcasting</t>
        </is>
      </c>
    </row>
    <row r="18">
      <c r="A18" s="16" t="inlineStr">
        <is>
          <t>Spellcasting Class</t>
        </is>
      </c>
      <c r="B18" s="16" t="inlineStr">
        <is>
          <t>Spell Ability</t>
        </is>
      </c>
      <c r="C18" s="16" t="inlineStr">
        <is>
          <t>Spell Save DC</t>
        </is>
      </c>
      <c r="D18" s="16" t="inlineStr">
        <is>
          <t>Spell Attack Bonus</t>
        </is>
      </c>
      <c r="E18" s="16" t="inlineStr">
        <is>
          <t>Ritual?</t>
        </is>
      </c>
      <c r="F18" s="16" t="inlineStr">
        <is>
          <t>Concentration?</t>
        </is>
      </c>
      <c r="G18" s="16" t="inlineStr">
        <is>
          <t>Notes</t>
        </is>
      </c>
      <c r="H18" s="19" t="inlineStr"/>
      <c r="I18" s="19" t="inlineStr"/>
      <c r="J18" s="19" t="inlineStr"/>
    </row>
    <row r="19">
      <c r="A19" s="13" t="n"/>
      <c r="B19" s="14" t="n"/>
      <c r="C19" s="14" t="n"/>
      <c r="D19" s="14" t="n"/>
      <c r="E19" s="14" t="n"/>
      <c r="F19" s="14" t="n"/>
      <c r="G19" s="13" t="n"/>
      <c r="H19" s="21" t="n"/>
      <c r="I19" s="21" t="n"/>
      <c r="J19" s="22" t="n"/>
    </row>
    <row r="20" ht="30" customHeight="1">
      <c r="A20" s="18" t="inlineStr">
        <is>
          <t>Spell Save DC = 8 + Proficiency Bonus + Spellcasting Ability modifier. Spell Attack Bonus = Proficiency Bonus + Spellcasting Ability modifier.</t>
        </is>
      </c>
    </row>
    <row r="22" ht="22" customHeight="1">
      <c r="A22" s="6" t="inlineStr">
        <is>
          <t>Spell Slots</t>
        </is>
      </c>
    </row>
    <row r="23">
      <c r="A23" s="16" t="inlineStr">
        <is>
          <t>Level</t>
        </is>
      </c>
      <c r="B23" s="16" t="inlineStr">
        <is>
          <t>1st</t>
        </is>
      </c>
      <c r="C23" s="16" t="inlineStr">
        <is>
          <t>2nd</t>
        </is>
      </c>
      <c r="D23" s="16" t="inlineStr">
        <is>
          <t>3rd</t>
        </is>
      </c>
      <c r="E23" s="16" t="inlineStr">
        <is>
          <t>4th</t>
        </is>
      </c>
      <c r="F23" s="16" t="inlineStr">
        <is>
          <t>5th</t>
        </is>
      </c>
      <c r="G23" s="16" t="inlineStr">
        <is>
          <t>6th</t>
        </is>
      </c>
      <c r="H23" s="16" t="inlineStr">
        <is>
          <t>7th</t>
        </is>
      </c>
      <c r="I23" s="16" t="inlineStr">
        <is>
          <t>8th</t>
        </is>
      </c>
      <c r="J23" s="16" t="inlineStr">
        <is>
          <t>9th</t>
        </is>
      </c>
    </row>
    <row r="24">
      <c r="A24" s="4" t="inlineStr">
        <is>
          <t>Slots (auto)</t>
        </is>
      </c>
      <c r="B24" s="15">
        <f>IFERROR(INDEX(FILTER(SlotTable[Slots1],(SlotTable[Class]=Character!$F$3)*(SlotTable[Lvl]=Character!$H$3)),1),0)</f>
        <v/>
      </c>
      <c r="C24" s="15">
        <f>IFERROR(INDEX(FILTER(SlotTable[Slots2],(SlotTable[Class]=Character!$F$3)*(SlotTable[Lvl]=Character!$H$3)),1),0)</f>
        <v/>
      </c>
      <c r="D24" s="15">
        <f>IFERROR(INDEX(FILTER(SlotTable[Slots3],(SlotTable[Class]=Character!$F$3)*(SlotTable[Lvl]=Character!$H$3)),1),0)</f>
        <v/>
      </c>
      <c r="E24" s="15">
        <f>IFERROR(INDEX(FILTER(SlotTable[Slots4],(SlotTable[Class]=Character!$F$3)*(SlotTable[Lvl]=Character!$H$3)),1),0)</f>
        <v/>
      </c>
      <c r="F24" s="15">
        <f>IFERROR(INDEX(FILTER(SlotTable[Slots5],(SlotTable[Class]=Character!$F$3)*(SlotTable[Lvl]=Character!$H$3)),1),0)</f>
        <v/>
      </c>
      <c r="G24" s="15">
        <f>IFERROR(INDEX(FILTER(SlotTable[Slots6],(SlotTable[Class]=Character!$F$3)*(SlotTable[Lvl]=Character!$H$3)),1),0)</f>
        <v/>
      </c>
      <c r="H24" s="15">
        <f>IFERROR(INDEX(FILTER(SlotTable[Slots7],(SlotTable[Class]=Character!$F$3)*(SlotTable[Lvl]=Character!$H$3)),1),0)</f>
        <v/>
      </c>
      <c r="I24" s="15">
        <f>IFERROR(INDEX(FILTER(SlotTable[Slots8],(SlotTable[Class]=Character!$F$3)*(SlotTable[Lvl]=Character!$H$3)),1),0)</f>
        <v/>
      </c>
      <c r="J24" s="15">
        <f>IFERROR(INDEX(FILTER(SlotTable[Slots9],(SlotTable[Class]=Character!$F$3)*(SlotTable[Lvl]=Character!$H$3)),1),0)</f>
        <v/>
      </c>
    </row>
    <row r="25">
      <c r="A25" s="4" t="inlineStr">
        <is>
          <t>Used</t>
        </is>
      </c>
      <c r="B25" s="14" t="n">
        <v>0</v>
      </c>
      <c r="C25" s="14" t="n">
        <v>0</v>
      </c>
      <c r="D25" s="14" t="n">
        <v>0</v>
      </c>
      <c r="E25" s="14" t="n">
        <v>0</v>
      </c>
      <c r="F25" s="14" t="n">
        <v>0</v>
      </c>
      <c r="G25" s="14" t="n">
        <v>0</v>
      </c>
      <c r="H25" s="14" t="n">
        <v>0</v>
      </c>
      <c r="I25" s="14" t="n">
        <v>0</v>
      </c>
      <c r="J25" s="14" t="n">
        <v>0</v>
      </c>
    </row>
    <row r="26">
      <c r="A26" s="4" t="inlineStr">
        <is>
          <t>Remaining</t>
        </is>
      </c>
      <c r="B26" s="15">
        <f>MAX(0,B24-B25)</f>
        <v/>
      </c>
      <c r="C26" s="15">
        <f>MAX(0,C24-C25)</f>
        <v/>
      </c>
      <c r="D26" s="15">
        <f>MAX(0,D24-D25)</f>
        <v/>
      </c>
      <c r="E26" s="15">
        <f>MAX(0,E24-E25)</f>
        <v/>
      </c>
      <c r="F26" s="15">
        <f>MAX(0,F24-F25)</f>
        <v/>
      </c>
      <c r="G26" s="15">
        <f>MAX(0,G24-G25)</f>
        <v/>
      </c>
      <c r="H26" s="15">
        <f>MAX(0,H24-H25)</f>
        <v/>
      </c>
      <c r="I26" s="15">
        <f>MAX(0,I24-I25)</f>
        <v/>
      </c>
      <c r="J26" s="15">
        <f>MAX(0,J24-J25)</f>
        <v/>
      </c>
    </row>
    <row r="27">
      <c r="A27" s="4" t="inlineStr">
        <is>
          <t>Display</t>
        </is>
      </c>
      <c r="B27" s="15">
        <f>IF(B24=0,"—",TRIM(REPT("○ ",B26)&amp;REPT("● ",MIN(B25,B24))))</f>
        <v/>
      </c>
      <c r="C27" s="15">
        <f>IF(C24=0,"—",TRIM(REPT("○ ",C26)&amp;REPT("● ",MIN(C25,C24))))</f>
        <v/>
      </c>
      <c r="D27" s="15">
        <f>IF(D24=0,"—",TRIM(REPT("○ ",D26)&amp;REPT("● ",MIN(D25,D24))))</f>
        <v/>
      </c>
      <c r="E27" s="15">
        <f>IF(E24=0,"—",TRIM(REPT("○ ",E26)&amp;REPT("● ",MIN(E25,E24))))</f>
        <v/>
      </c>
      <c r="F27" s="15">
        <f>IF(F24=0,"—",TRIM(REPT("○ ",F26)&amp;REPT("● ",MIN(F25,F24))))</f>
        <v/>
      </c>
      <c r="G27" s="15">
        <f>IF(G24=0,"—",TRIM(REPT("○ ",G26)&amp;REPT("● ",MIN(G25,G24))))</f>
        <v/>
      </c>
      <c r="H27" s="15">
        <f>IF(H24=0,"—",TRIM(REPT("○ ",H26)&amp;REPT("● ",MIN(H25,H24))))</f>
        <v/>
      </c>
      <c r="I27" s="15">
        <f>IF(I24=0,"—",TRIM(REPT("○ ",I26)&amp;REPT("● ",MIN(I25,I24))))</f>
        <v/>
      </c>
      <c r="J27" s="15">
        <f>IF(J24=0,"—",TRIM(REPT("○ ",J26)&amp;REPT("● ",MIN(J25,J24))))</f>
        <v/>
      </c>
    </row>
    <row r="29" ht="22" customHeight="1">
      <c r="A29" s="6" t="inlineStr">
        <is>
          <t>Spells Known &amp; Prepared</t>
        </is>
      </c>
    </row>
    <row r="30">
      <c r="A30" s="16" t="inlineStr">
        <is>
          <t>Spell</t>
        </is>
      </c>
      <c r="B30" s="16" t="inlineStr">
        <is>
          <t>Level</t>
        </is>
      </c>
      <c r="C30" s="16" t="inlineStr">
        <is>
          <t>School</t>
        </is>
      </c>
      <c r="D30" s="16" t="inlineStr">
        <is>
          <t>Cast Time</t>
        </is>
      </c>
      <c r="E30" s="16" t="inlineStr">
        <is>
          <t>Range</t>
        </is>
      </c>
      <c r="F30" s="16" t="inlineStr">
        <is>
          <t>Components</t>
        </is>
      </c>
      <c r="G30" s="16" t="inlineStr">
        <is>
          <t>Duration</t>
        </is>
      </c>
      <c r="H30" s="16" t="inlineStr">
        <is>
          <t>Prepared?</t>
        </is>
      </c>
      <c r="I30" s="16" t="inlineStr">
        <is>
          <t>Notes</t>
        </is>
      </c>
      <c r="J30" s="19" t="inlineStr"/>
    </row>
    <row r="31">
      <c r="A31" s="13" t="n"/>
      <c r="B31" s="13" t="n"/>
      <c r="C31" s="13" t="n"/>
      <c r="D31" s="13" t="n"/>
      <c r="E31" s="13" t="n"/>
      <c r="F31" s="13" t="n"/>
      <c r="G31" s="13" t="n"/>
      <c r="H31" s="13" t="n"/>
      <c r="I31" s="13" t="n"/>
      <c r="J31" s="13" t="n"/>
    </row>
    <row r="32">
      <c r="A32" s="13" t="n"/>
      <c r="B32" s="13" t="n"/>
      <c r="C32" s="13" t="n"/>
      <c r="D32" s="13" t="n"/>
      <c r="E32" s="13" t="n"/>
      <c r="F32" s="13" t="n"/>
      <c r="G32" s="13" t="n"/>
      <c r="H32" s="13" t="n"/>
      <c r="I32" s="13" t="n"/>
      <c r="J32" s="13" t="n"/>
    </row>
    <row r="33">
      <c r="A33" s="13" t="n"/>
      <c r="B33" s="13" t="n"/>
      <c r="C33" s="13" t="n"/>
      <c r="D33" s="13" t="n"/>
      <c r="E33" s="13" t="n"/>
      <c r="F33" s="13" t="n"/>
      <c r="G33" s="13" t="n"/>
      <c r="H33" s="13" t="n"/>
      <c r="I33" s="13" t="n"/>
      <c r="J33" s="13" t="n"/>
    </row>
    <row r="34">
      <c r="A34" s="13" t="n"/>
      <c r="B34" s="13" t="n"/>
      <c r="C34" s="13" t="n"/>
      <c r="D34" s="13" t="n"/>
      <c r="E34" s="13" t="n"/>
      <c r="F34" s="13" t="n"/>
      <c r="G34" s="13" t="n"/>
      <c r="H34" s="13" t="n"/>
      <c r="I34" s="13" t="n"/>
      <c r="J34" s="13" t="n"/>
    </row>
    <row r="35">
      <c r="A35" s="13" t="n"/>
      <c r="B35" s="13" t="n"/>
      <c r="C35" s="13" t="n"/>
      <c r="D35" s="13" t="n"/>
      <c r="E35" s="13" t="n"/>
      <c r="F35" s="13" t="n"/>
      <c r="G35" s="13" t="n"/>
      <c r="H35" s="13" t="n"/>
      <c r="I35" s="13" t="n"/>
      <c r="J35" s="13" t="n"/>
    </row>
    <row r="36">
      <c r="A36" s="13" t="n"/>
      <c r="B36" s="13" t="n"/>
      <c r="C36" s="13" t="n"/>
      <c r="D36" s="13" t="n"/>
      <c r="E36" s="13" t="n"/>
      <c r="F36" s="13" t="n"/>
      <c r="G36" s="13" t="n"/>
      <c r="H36" s="13" t="n"/>
      <c r="I36" s="13" t="n"/>
      <c r="J36" s="13" t="n"/>
    </row>
    <row r="37">
      <c r="A37" s="13" t="n"/>
      <c r="B37" s="13" t="n"/>
      <c r="C37" s="13" t="n"/>
      <c r="D37" s="13" t="n"/>
      <c r="E37" s="13" t="n"/>
      <c r="F37" s="13" t="n"/>
      <c r="G37" s="13" t="n"/>
      <c r="H37" s="13" t="n"/>
      <c r="I37" s="13" t="n"/>
      <c r="J37" s="13" t="n"/>
    </row>
    <row r="38">
      <c r="A38" s="13" t="n"/>
      <c r="B38" s="13" t="n"/>
      <c r="C38" s="13" t="n"/>
      <c r="D38" s="13" t="n"/>
      <c r="E38" s="13" t="n"/>
      <c r="F38" s="13" t="n"/>
      <c r="G38" s="13" t="n"/>
      <c r="H38" s="13" t="n"/>
      <c r="I38" s="13" t="n"/>
      <c r="J38" s="13" t="n"/>
    </row>
    <row r="39">
      <c r="A39" s="13" t="n"/>
      <c r="B39" s="13" t="n"/>
      <c r="C39" s="13" t="n"/>
      <c r="D39" s="13" t="n"/>
      <c r="E39" s="13" t="n"/>
      <c r="F39" s="13" t="n"/>
      <c r="G39" s="13" t="n"/>
      <c r="H39" s="13" t="n"/>
      <c r="I39" s="13" t="n"/>
      <c r="J39" s="13" t="n"/>
    </row>
    <row r="40">
      <c r="A40" s="13" t="n"/>
      <c r="B40" s="13" t="n"/>
      <c r="C40" s="13" t="n"/>
      <c r="D40" s="13" t="n"/>
      <c r="E40" s="13" t="n"/>
      <c r="F40" s="13" t="n"/>
      <c r="G40" s="13" t="n"/>
      <c r="H40" s="13" t="n"/>
      <c r="I40" s="13" t="n"/>
      <c r="J40" s="13" t="n"/>
    </row>
    <row r="41">
      <c r="A41" s="13" t="n"/>
      <c r="B41" s="13" t="n"/>
      <c r="C41" s="13" t="n"/>
      <c r="D41" s="13" t="n"/>
      <c r="E41" s="13" t="n"/>
      <c r="F41" s="13" t="n"/>
      <c r="G41" s="13" t="n"/>
      <c r="H41" s="13" t="n"/>
      <c r="I41" s="13" t="n"/>
      <c r="J41" s="13" t="n"/>
    </row>
    <row r="42">
      <c r="A42" s="13" t="n"/>
      <c r="B42" s="13" t="n"/>
      <c r="C42" s="13" t="n"/>
      <c r="D42" s="13" t="n"/>
      <c r="E42" s="13" t="n"/>
      <c r="F42" s="13" t="n"/>
      <c r="G42" s="13" t="n"/>
      <c r="H42" s="13" t="n"/>
      <c r="I42" s="13" t="n"/>
      <c r="J42" s="13" t="n"/>
    </row>
    <row r="43">
      <c r="A43" s="13" t="n"/>
      <c r="B43" s="13" t="n"/>
      <c r="C43" s="13" t="n"/>
      <c r="D43" s="13" t="n"/>
      <c r="E43" s="13" t="n"/>
      <c r="F43" s="13" t="n"/>
      <c r="G43" s="13" t="n"/>
      <c r="H43" s="13" t="n"/>
      <c r="I43" s="13" t="n"/>
      <c r="J43" s="13" t="n"/>
    </row>
    <row r="44">
      <c r="A44" s="13" t="n"/>
      <c r="B44" s="13" t="n"/>
      <c r="C44" s="13" t="n"/>
      <c r="D44" s="13" t="n"/>
      <c r="E44" s="13" t="n"/>
      <c r="F44" s="13" t="n"/>
      <c r="G44" s="13" t="n"/>
      <c r="H44" s="13" t="n"/>
      <c r="I44" s="13" t="n"/>
      <c r="J44" s="13" t="n"/>
    </row>
    <row r="45">
      <c r="A45" s="13" t="n"/>
      <c r="B45" s="13" t="n"/>
      <c r="C45" s="13" t="n"/>
      <c r="D45" s="13" t="n"/>
      <c r="E45" s="13" t="n"/>
      <c r="F45" s="13" t="n"/>
      <c r="G45" s="13" t="n"/>
      <c r="H45" s="13" t="n"/>
      <c r="I45" s="13" t="n"/>
      <c r="J45" s="13" t="n"/>
    </row>
    <row r="46">
      <c r="A46" s="13" t="n"/>
      <c r="B46" s="13" t="n"/>
      <c r="C46" s="13" t="n"/>
      <c r="D46" s="13" t="n"/>
      <c r="E46" s="13" t="n"/>
      <c r="F46" s="13" t="n"/>
      <c r="G46" s="13" t="n"/>
      <c r="H46" s="13" t="n"/>
      <c r="I46" s="13" t="n"/>
      <c r="J46" s="13" t="n"/>
    </row>
    <row r="47">
      <c r="A47" s="13" t="n"/>
      <c r="B47" s="13" t="n"/>
      <c r="C47" s="13" t="n"/>
      <c r="D47" s="13" t="n"/>
      <c r="E47" s="13" t="n"/>
      <c r="F47" s="13" t="n"/>
      <c r="G47" s="13" t="n"/>
      <c r="H47" s="13" t="n"/>
      <c r="I47" s="13" t="n"/>
      <c r="J47" s="13" t="n"/>
    </row>
    <row r="48">
      <c r="A48" s="13" t="n"/>
      <c r="B48" s="13" t="n"/>
      <c r="C48" s="13" t="n"/>
      <c r="D48" s="13" t="n"/>
      <c r="E48" s="13" t="n"/>
      <c r="F48" s="13" t="n"/>
      <c r="G48" s="13" t="n"/>
      <c r="H48" s="13" t="n"/>
      <c r="I48" s="13" t="n"/>
      <c r="J48" s="13" t="n"/>
    </row>
    <row r="49">
      <c r="A49" s="13" t="n"/>
      <c r="B49" s="13" t="n"/>
      <c r="C49" s="13" t="n"/>
      <c r="D49" s="13" t="n"/>
      <c r="E49" s="13" t="n"/>
      <c r="F49" s="13" t="n"/>
      <c r="G49" s="13" t="n"/>
      <c r="H49" s="13" t="n"/>
      <c r="I49" s="13" t="n"/>
      <c r="J49" s="13" t="n"/>
    </row>
    <row r="50">
      <c r="A50" s="13" t="n"/>
      <c r="B50" s="13" t="n"/>
      <c r="C50" s="13" t="n"/>
      <c r="D50" s="13" t="n"/>
      <c r="E50" s="13" t="n"/>
      <c r="F50" s="13" t="n"/>
      <c r="G50" s="13" t="n"/>
      <c r="H50" s="13" t="n"/>
      <c r="I50" s="13" t="n"/>
      <c r="J50" s="13" t="n"/>
    </row>
    <row r="51">
      <c r="A51" s="13" t="n"/>
      <c r="B51" s="13" t="n"/>
      <c r="C51" s="13" t="n"/>
      <c r="D51" s="13" t="n"/>
      <c r="E51" s="13" t="n"/>
      <c r="F51" s="13" t="n"/>
      <c r="G51" s="13" t="n"/>
      <c r="H51" s="13" t="n"/>
      <c r="I51" s="13" t="n"/>
      <c r="J51" s="13" t="n"/>
    </row>
    <row r="52">
      <c r="A52" s="13" t="n"/>
      <c r="B52" s="13" t="n"/>
      <c r="C52" s="13" t="n"/>
      <c r="D52" s="13" t="n"/>
      <c r="E52" s="13" t="n"/>
      <c r="F52" s="13" t="n"/>
      <c r="G52" s="13" t="n"/>
      <c r="H52" s="13" t="n"/>
      <c r="I52" s="13" t="n"/>
      <c r="J52" s="13" t="n"/>
    </row>
    <row r="53">
      <c r="A53" s="13" t="n"/>
      <c r="B53" s="13" t="n"/>
      <c r="C53" s="13" t="n"/>
      <c r="D53" s="13" t="n"/>
      <c r="E53" s="13" t="n"/>
      <c r="F53" s="13" t="n"/>
      <c r="G53" s="13" t="n"/>
      <c r="H53" s="13" t="n"/>
      <c r="I53" s="13" t="n"/>
      <c r="J53" s="13" t="n"/>
    </row>
    <row r="54">
      <c r="A54" s="13" t="n"/>
      <c r="B54" s="13" t="n"/>
      <c r="C54" s="13" t="n"/>
      <c r="D54" s="13" t="n"/>
      <c r="E54" s="13" t="n"/>
      <c r="F54" s="13" t="n"/>
      <c r="G54" s="13" t="n"/>
      <c r="H54" s="13" t="n"/>
      <c r="I54" s="13" t="n"/>
      <c r="J54" s="13" t="n"/>
    </row>
    <row r="55">
      <c r="A55" s="13" t="n"/>
      <c r="B55" s="13" t="n"/>
      <c r="C55" s="13" t="n"/>
      <c r="D55" s="13" t="n"/>
      <c r="E55" s="13" t="n"/>
      <c r="F55" s="13" t="n"/>
      <c r="G55" s="13" t="n"/>
      <c r="H55" s="13" t="n"/>
      <c r="I55" s="13" t="n"/>
      <c r="J55" s="13" t="n"/>
    </row>
    <row r="56">
      <c r="A56" s="13" t="n"/>
      <c r="B56" s="13" t="n"/>
      <c r="C56" s="13" t="n"/>
      <c r="D56" s="13" t="n"/>
      <c r="E56" s="13" t="n"/>
      <c r="F56" s="13" t="n"/>
      <c r="G56" s="13" t="n"/>
      <c r="H56" s="13" t="n"/>
      <c r="I56" s="13" t="n"/>
      <c r="J56" s="13" t="n"/>
    </row>
    <row r="57">
      <c r="A57" s="13" t="n"/>
      <c r="B57" s="13" t="n"/>
      <c r="C57" s="13" t="n"/>
      <c r="D57" s="13" t="n"/>
      <c r="E57" s="13" t="n"/>
      <c r="F57" s="13" t="n"/>
      <c r="G57" s="13" t="n"/>
      <c r="H57" s="13" t="n"/>
      <c r="I57" s="13" t="n"/>
      <c r="J57" s="13" t="n"/>
    </row>
    <row r="58">
      <c r="A58" s="13" t="n"/>
      <c r="B58" s="13" t="n"/>
      <c r="C58" s="13" t="n"/>
      <c r="D58" s="13" t="n"/>
      <c r="E58" s="13" t="n"/>
      <c r="F58" s="13" t="n"/>
      <c r="G58" s="13" t="n"/>
      <c r="H58" s="13" t="n"/>
      <c r="I58" s="13" t="n"/>
      <c r="J58" s="13" t="n"/>
    </row>
    <row r="59">
      <c r="A59" s="13" t="n"/>
      <c r="B59" s="13" t="n"/>
      <c r="C59" s="13" t="n"/>
      <c r="D59" s="13" t="n"/>
      <c r="E59" s="13" t="n"/>
      <c r="F59" s="13" t="n"/>
      <c r="G59" s="13" t="n"/>
      <c r="H59" s="13" t="n"/>
      <c r="I59" s="13" t="n"/>
      <c r="J59" s="13" t="n"/>
    </row>
    <row r="60">
      <c r="A60" s="13" t="n"/>
      <c r="B60" s="13" t="n"/>
      <c r="C60" s="13" t="n"/>
      <c r="D60" s="13" t="n"/>
      <c r="E60" s="13" t="n"/>
      <c r="F60" s="13" t="n"/>
      <c r="G60" s="13" t="n"/>
      <c r="H60" s="13" t="n"/>
      <c r="I60" s="13" t="n"/>
      <c r="J60" s="13" t="n"/>
    </row>
    <row r="61">
      <c r="A61" s="13" t="n"/>
      <c r="B61" s="13" t="n"/>
      <c r="C61" s="13" t="n"/>
      <c r="D61" s="13" t="n"/>
      <c r="E61" s="13" t="n"/>
      <c r="F61" s="13" t="n"/>
      <c r="G61" s="13" t="n"/>
      <c r="H61" s="13" t="n"/>
      <c r="I61" s="13" t="n"/>
      <c r="J61" s="13" t="n"/>
    </row>
    <row r="62">
      <c r="A62" s="13" t="n"/>
      <c r="B62" s="13" t="n"/>
      <c r="C62" s="13" t="n"/>
      <c r="D62" s="13" t="n"/>
      <c r="E62" s="13" t="n"/>
      <c r="F62" s="13" t="n"/>
      <c r="G62" s="13" t="n"/>
      <c r="H62" s="13" t="n"/>
      <c r="I62" s="13" t="n"/>
      <c r="J62" s="13" t="n"/>
    </row>
    <row r="63">
      <c r="A63" s="13" t="n"/>
      <c r="B63" s="13" t="n"/>
      <c r="C63" s="13" t="n"/>
      <c r="D63" s="13" t="n"/>
      <c r="E63" s="13" t="n"/>
      <c r="F63" s="13" t="n"/>
      <c r="G63" s="13" t="n"/>
      <c r="H63" s="13" t="n"/>
      <c r="I63" s="13" t="n"/>
      <c r="J63" s="13" t="n"/>
    </row>
    <row r="64">
      <c r="A64" s="13" t="n"/>
      <c r="B64" s="13" t="n"/>
      <c r="C64" s="13" t="n"/>
      <c r="D64" s="13" t="n"/>
      <c r="E64" s="13" t="n"/>
      <c r="F64" s="13" t="n"/>
      <c r="G64" s="13" t="n"/>
      <c r="H64" s="13" t="n"/>
      <c r="I64" s="13" t="n"/>
      <c r="J64" s="13" t="n"/>
    </row>
    <row r="65">
      <c r="A65" s="13" t="n"/>
      <c r="B65" s="13" t="n"/>
      <c r="C65" s="13" t="n"/>
      <c r="D65" s="13" t="n"/>
      <c r="E65" s="13" t="n"/>
      <c r="F65" s="13" t="n"/>
      <c r="G65" s="13" t="n"/>
      <c r="H65" s="13" t="n"/>
      <c r="I65" s="13" t="n"/>
      <c r="J65" s="13" t="n"/>
    </row>
    <row r="66">
      <c r="A66" s="13" t="n"/>
      <c r="B66" s="13" t="n"/>
      <c r="C66" s="13" t="n"/>
      <c r="D66" s="13" t="n"/>
      <c r="E66" s="13" t="n"/>
      <c r="F66" s="13" t="n"/>
      <c r="G66" s="13" t="n"/>
      <c r="H66" s="13" t="n"/>
      <c r="I66" s="13" t="n"/>
      <c r="J66" s="13" t="n"/>
    </row>
    <row r="67">
      <c r="A67" s="13" t="n"/>
      <c r="B67" s="13" t="n"/>
      <c r="C67" s="13" t="n"/>
      <c r="D67" s="13" t="n"/>
      <c r="E67" s="13" t="n"/>
      <c r="F67" s="13" t="n"/>
      <c r="G67" s="13" t="n"/>
      <c r="H67" s="13" t="n"/>
      <c r="I67" s="13" t="n"/>
      <c r="J67" s="13" t="n"/>
    </row>
    <row r="68">
      <c r="A68" s="13" t="n"/>
      <c r="B68" s="13" t="n"/>
      <c r="C68" s="13" t="n"/>
      <c r="D68" s="13" t="n"/>
      <c r="E68" s="13" t="n"/>
      <c r="F68" s="13" t="n"/>
      <c r="G68" s="13" t="n"/>
      <c r="H68" s="13" t="n"/>
      <c r="I68" s="13" t="n"/>
      <c r="J68" s="13" t="n"/>
    </row>
    <row r="69">
      <c r="A69" s="13" t="n"/>
      <c r="B69" s="13" t="n"/>
      <c r="C69" s="13" t="n"/>
      <c r="D69" s="13" t="n"/>
      <c r="E69" s="13" t="n"/>
      <c r="F69" s="13" t="n"/>
      <c r="G69" s="13" t="n"/>
      <c r="H69" s="13" t="n"/>
      <c r="I69" s="13" t="n"/>
      <c r="J69" s="13" t="n"/>
    </row>
    <row r="70">
      <c r="A70" s="13" t="n"/>
      <c r="B70" s="13" t="n"/>
      <c r="C70" s="13" t="n"/>
      <c r="D70" s="13" t="n"/>
      <c r="E70" s="13" t="n"/>
      <c r="F70" s="13" t="n"/>
      <c r="G70" s="13" t="n"/>
      <c r="H70" s="13" t="n"/>
      <c r="I70" s="13" t="n"/>
      <c r="J70" s="13" t="n"/>
    </row>
  </sheetData>
  <mergeCells count="7">
    <mergeCell ref="A1:J1"/>
    <mergeCell ref="A22:J22"/>
    <mergeCell ref="A17:J17"/>
    <mergeCell ref="A3:J3"/>
    <mergeCell ref="A29:J29"/>
    <mergeCell ref="A20:J20"/>
    <mergeCell ref="G19:J19"/>
  </mergeCells>
  <dataValidations count="1">
    <dataValidation sqref="C5 C6 C7 C8 C9 C10 C11 C12 C13 C14 E19 F19 H31 H32 H33 H34 H35 H36 H37 H38 H39 H40 H41 H42 H43 H44 H45 H46 H47 H48 H49 H50 H51 H52 H53 H54 H55 H56 H57 H58 H59 H60 H61 H62 H63 H64 H65 H66 H67 H68 H69 H70"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tabColor rgb="005C2A3F"/>
    <outlinePr summaryBelow="1" summaryRight="1"/>
    <pageSetUpPr/>
  </sheetPr>
  <dimension ref="A1:B56"/>
  <sheetViews>
    <sheetView workbookViewId="0">
      <selection activeCell="A1" sqref="A1"/>
    </sheetView>
  </sheetViews>
  <sheetFormatPr baseColWidth="8" defaultRowHeight="15"/>
  <cols>
    <col width="22" customWidth="1" min="1" max="1"/>
    <col width="70" customWidth="1" min="2" max="2"/>
  </cols>
  <sheetData>
    <row r="1" ht="32" customHeight="1">
      <c r="A1" s="1" t="inlineStr">
        <is>
          <t>Features &amp; Notes</t>
        </is>
      </c>
    </row>
    <row r="3" ht="22" customHeight="1">
      <c r="A3" s="6" t="inlineStr">
        <is>
          <t>Class Features</t>
        </is>
      </c>
    </row>
    <row r="4" ht="22" customHeight="1">
      <c r="A4" s="4" t="inlineStr"/>
      <c r="B4" s="13" t="n"/>
    </row>
    <row r="5" ht="22" customHeight="1">
      <c r="A5" s="4" t="inlineStr"/>
      <c r="B5" s="13" t="n"/>
    </row>
    <row r="6" ht="22" customHeight="1">
      <c r="A6" s="4" t="inlineStr"/>
      <c r="B6" s="13" t="n"/>
    </row>
    <row r="7" ht="22" customHeight="1">
      <c r="A7" s="4" t="inlineStr"/>
      <c r="B7" s="13" t="n"/>
    </row>
    <row r="8" ht="22" customHeight="1">
      <c r="A8" s="4" t="inlineStr"/>
      <c r="B8" s="13" t="n"/>
    </row>
    <row r="9" ht="22" customHeight="1">
      <c r="A9" s="4" t="inlineStr"/>
      <c r="B9" s="13" t="n"/>
    </row>
    <row r="10" ht="22" customHeight="1">
      <c r="A10" s="4" t="inlineStr"/>
      <c r="B10" s="13" t="n"/>
    </row>
    <row r="11" ht="22" customHeight="1">
      <c r="A11" s="4" t="inlineStr"/>
      <c r="B11" s="13" t="n"/>
    </row>
    <row r="12" ht="22" customHeight="1">
      <c r="A12" s="6" t="inlineStr">
        <is>
          <t>Racial / Ancestry Features</t>
        </is>
      </c>
    </row>
    <row r="13" ht="22" customHeight="1">
      <c r="A13" s="4" t="inlineStr"/>
      <c r="B13" s="13" t="n"/>
    </row>
    <row r="14" ht="22" customHeight="1">
      <c r="A14" s="4" t="inlineStr"/>
      <c r="B14" s="13" t="n"/>
    </row>
    <row r="15" ht="22" customHeight="1">
      <c r="A15" s="4" t="inlineStr"/>
      <c r="B15" s="13" t="n"/>
    </row>
    <row r="16" ht="22" customHeight="1">
      <c r="A16" s="4" t="inlineStr"/>
      <c r="B16" s="13" t="n"/>
    </row>
    <row r="17" ht="22" customHeight="1">
      <c r="A17" s="4" t="inlineStr"/>
      <c r="B17" s="13" t="n"/>
    </row>
    <row r="18" ht="22" customHeight="1">
      <c r="A18" s="4" t="inlineStr"/>
      <c r="B18" s="13" t="n"/>
    </row>
    <row r="19" ht="22" customHeight="1">
      <c r="A19" s="6" t="inlineStr">
        <is>
          <t>Background Feature</t>
        </is>
      </c>
    </row>
    <row r="20" ht="22" customHeight="1">
      <c r="A20" s="4" t="inlineStr"/>
      <c r="B20" s="13" t="n"/>
    </row>
    <row r="21" ht="22" customHeight="1">
      <c r="A21" s="4" t="inlineStr"/>
      <c r="B21" s="13" t="n"/>
    </row>
    <row r="22" ht="22" customHeight="1">
      <c r="A22" s="6" t="inlineStr">
        <is>
          <t>Feats</t>
        </is>
      </c>
    </row>
    <row r="23" ht="22" customHeight="1">
      <c r="A23" s="4" t="inlineStr"/>
      <c r="B23" s="13" t="n"/>
    </row>
    <row r="24" ht="22" customHeight="1">
      <c r="A24" s="4" t="inlineStr"/>
      <c r="B24" s="13" t="n"/>
    </row>
    <row r="25" ht="22" customHeight="1">
      <c r="A25" s="4" t="inlineStr"/>
      <c r="B25" s="13" t="n"/>
    </row>
    <row r="26" ht="22" customHeight="1">
      <c r="A26" s="4" t="inlineStr"/>
      <c r="B26" s="13" t="n"/>
    </row>
    <row r="27" ht="22" customHeight="1">
      <c r="A27" s="6" t="inlineStr">
        <is>
          <t>Languages</t>
        </is>
      </c>
    </row>
    <row r="28" ht="22" customHeight="1">
      <c r="A28" s="4" t="inlineStr"/>
      <c r="B28" s="13" t="n"/>
    </row>
    <row r="29" ht="22" customHeight="1">
      <c r="A29" s="4" t="inlineStr"/>
      <c r="B29" s="13" t="n"/>
    </row>
    <row r="30" ht="22" customHeight="1">
      <c r="A30" s="4" t="inlineStr"/>
      <c r="B30" s="13" t="n"/>
    </row>
    <row r="31" ht="22" customHeight="1">
      <c r="A31" s="6" t="inlineStr">
        <is>
          <t>Other Proficiencies (tools, instruments, etc.)</t>
        </is>
      </c>
    </row>
    <row r="32" ht="22" customHeight="1">
      <c r="A32" s="4" t="inlineStr"/>
      <c r="B32" s="13" t="n"/>
    </row>
    <row r="33" ht="22" customHeight="1">
      <c r="A33" s="4" t="inlineStr"/>
      <c r="B33" s="13" t="n"/>
    </row>
    <row r="34" ht="22" customHeight="1">
      <c r="A34" s="4" t="inlineStr"/>
      <c r="B34" s="13" t="n"/>
    </row>
    <row r="35" ht="22" customHeight="1">
      <c r="A35" s="4" t="inlineStr"/>
      <c r="B35" s="13" t="n"/>
    </row>
    <row r="36" ht="22" customHeight="1">
      <c r="A36" s="6" t="inlineStr">
        <is>
          <t>Allies &amp; Contacts</t>
        </is>
      </c>
    </row>
    <row r="37" ht="22" customHeight="1">
      <c r="A37" s="4" t="inlineStr"/>
      <c r="B37" s="13" t="n"/>
    </row>
    <row r="38" ht="22" customHeight="1">
      <c r="A38" s="4" t="inlineStr"/>
      <c r="B38" s="13" t="n"/>
    </row>
    <row r="39" ht="22" customHeight="1">
      <c r="A39" s="4" t="inlineStr"/>
      <c r="B39" s="13" t="n"/>
    </row>
    <row r="40" ht="22" customHeight="1">
      <c r="A40" s="4" t="inlineStr"/>
      <c r="B40" s="13" t="n"/>
    </row>
    <row r="41" ht="22" customHeight="1">
      <c r="A41" s="6" t="inlineStr">
        <is>
          <t>Backstory</t>
        </is>
      </c>
    </row>
    <row r="42" ht="22" customHeight="1">
      <c r="A42" s="4" t="inlineStr"/>
      <c r="B42" s="13" t="n"/>
    </row>
    <row r="43" ht="22" customHeight="1">
      <c r="A43" s="4" t="inlineStr"/>
      <c r="B43" s="13" t="n"/>
    </row>
    <row r="44" ht="22" customHeight="1">
      <c r="A44" s="4" t="inlineStr"/>
      <c r="B44" s="13" t="n"/>
    </row>
    <row r="45" ht="22" customHeight="1">
      <c r="A45" s="4" t="inlineStr"/>
      <c r="B45" s="13" t="n"/>
    </row>
    <row r="46" ht="22" customHeight="1">
      <c r="A46" s="4" t="inlineStr"/>
      <c r="B46" s="13" t="n"/>
    </row>
    <row r="47" ht="22" customHeight="1">
      <c r="A47" s="4" t="inlineStr"/>
      <c r="B47" s="13" t="n"/>
    </row>
    <row r="48" ht="22" customHeight="1">
      <c r="A48" s="6" t="inlineStr">
        <is>
          <t>Session Notes</t>
        </is>
      </c>
    </row>
    <row r="49" ht="22" customHeight="1">
      <c r="A49" s="4" t="inlineStr"/>
      <c r="B49" s="13" t="n"/>
    </row>
    <row r="50" ht="22" customHeight="1">
      <c r="A50" s="4" t="inlineStr"/>
      <c r="B50" s="13" t="n"/>
    </row>
    <row r="51" ht="22" customHeight="1">
      <c r="A51" s="4" t="inlineStr"/>
      <c r="B51" s="13" t="n"/>
    </row>
    <row r="52" ht="22" customHeight="1">
      <c r="A52" s="4" t="inlineStr"/>
      <c r="B52" s="13" t="n"/>
    </row>
    <row r="53" ht="22" customHeight="1">
      <c r="A53" s="4" t="inlineStr"/>
      <c r="B53" s="13" t="n"/>
    </row>
    <row r="54" ht="22" customHeight="1">
      <c r="A54" s="4" t="inlineStr"/>
      <c r="B54" s="13" t="n"/>
    </row>
    <row r="55" ht="22" customHeight="1">
      <c r="A55" s="4" t="inlineStr"/>
      <c r="B55" s="13" t="n"/>
    </row>
    <row r="56" ht="22" customHeight="1">
      <c r="A56" s="4" t="inlineStr"/>
      <c r="B56" s="13" t="n"/>
    </row>
  </sheetData>
  <mergeCells count="10">
    <mergeCell ref="A48:B48"/>
    <mergeCell ref="A41:B41"/>
    <mergeCell ref="A19:B19"/>
    <mergeCell ref="A36:B36"/>
    <mergeCell ref="A1:B1"/>
    <mergeCell ref="A27:B27"/>
    <mergeCell ref="A31:B31"/>
    <mergeCell ref="A3:B3"/>
    <mergeCell ref="A22:B22"/>
    <mergeCell ref="A12:B12"/>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P261"/>
  <sheetViews>
    <sheetView workbookViewId="0">
      <selection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4"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c r="A1" s="24" t="inlineStr">
        <is>
          <t>Class</t>
        </is>
      </c>
      <c r="B1" s="24" t="inlineStr">
        <is>
          <t>HitDie</t>
        </is>
      </c>
      <c r="C1" s="24" t="inlineStr">
        <is>
          <t>HitDieMax</t>
        </is>
      </c>
      <c r="D1" s="24" t="inlineStr">
        <is>
          <t>CasterType</t>
        </is>
      </c>
      <c r="F1" s="24" t="inlineStr">
        <is>
          <t>Class</t>
        </is>
      </c>
      <c r="G1" s="24" t="inlineStr">
        <is>
          <t>Lvl</t>
        </is>
      </c>
      <c r="H1" s="24" t="inlineStr">
        <is>
          <t>Slots1</t>
        </is>
      </c>
      <c r="I1" s="24" t="inlineStr">
        <is>
          <t>Slots2</t>
        </is>
      </c>
      <c r="J1" s="24" t="inlineStr">
        <is>
          <t>Slots3</t>
        </is>
      </c>
      <c r="K1" s="24" t="inlineStr">
        <is>
          <t>Slots4</t>
        </is>
      </c>
      <c r="L1" s="24" t="inlineStr">
        <is>
          <t>Slots5</t>
        </is>
      </c>
      <c r="M1" s="24" t="inlineStr">
        <is>
          <t>Slots6</t>
        </is>
      </c>
      <c r="N1" s="24" t="inlineStr">
        <is>
          <t>Slots7</t>
        </is>
      </c>
      <c r="O1" s="24" t="inlineStr">
        <is>
          <t>Slots8</t>
        </is>
      </c>
      <c r="P1" s="24" t="inlineStr">
        <is>
          <t>Slots9</t>
        </is>
      </c>
    </row>
    <row r="2">
      <c r="A2" t="inlineStr">
        <is>
          <t>Artificer</t>
        </is>
      </c>
      <c r="B2" t="inlineStr">
        <is>
          <t>d8</t>
        </is>
      </c>
      <c r="C2" t="n">
        <v>8</v>
      </c>
      <c r="D2" t="inlineStr">
        <is>
          <t>Half</t>
        </is>
      </c>
      <c r="F2" t="inlineStr">
        <is>
          <t>Artificer</t>
        </is>
      </c>
      <c r="G2" t="n">
        <v>1</v>
      </c>
      <c r="H2" t="n">
        <v>2</v>
      </c>
      <c r="I2" t="n">
        <v>0</v>
      </c>
      <c r="J2" t="n">
        <v>0</v>
      </c>
      <c r="K2" t="n">
        <v>0</v>
      </c>
      <c r="L2" t="n">
        <v>0</v>
      </c>
      <c r="M2" t="n">
        <v>0</v>
      </c>
      <c r="N2" t="n">
        <v>0</v>
      </c>
      <c r="O2" t="n">
        <v>0</v>
      </c>
      <c r="P2" t="n">
        <v>0</v>
      </c>
    </row>
    <row r="3">
      <c r="A3" t="inlineStr">
        <is>
          <t>Barbarian</t>
        </is>
      </c>
      <c r="B3" t="inlineStr">
        <is>
          <t>d12</t>
        </is>
      </c>
      <c r="C3" t="n">
        <v>12</v>
      </c>
      <c r="D3" t="inlineStr">
        <is>
          <t>None</t>
        </is>
      </c>
      <c r="F3" t="inlineStr">
        <is>
          <t>Artificer</t>
        </is>
      </c>
      <c r="G3" t="n">
        <v>2</v>
      </c>
      <c r="H3" t="n">
        <v>2</v>
      </c>
      <c r="I3" t="n">
        <v>0</v>
      </c>
      <c r="J3" t="n">
        <v>0</v>
      </c>
      <c r="K3" t="n">
        <v>0</v>
      </c>
      <c r="L3" t="n">
        <v>0</v>
      </c>
      <c r="M3" t="n">
        <v>0</v>
      </c>
      <c r="N3" t="n">
        <v>0</v>
      </c>
      <c r="O3" t="n">
        <v>0</v>
      </c>
      <c r="P3" t="n">
        <v>0</v>
      </c>
    </row>
    <row r="4">
      <c r="A4" t="inlineStr">
        <is>
          <t>Bard</t>
        </is>
      </c>
      <c r="B4" t="inlineStr">
        <is>
          <t>d8</t>
        </is>
      </c>
      <c r="C4" t="n">
        <v>8</v>
      </c>
      <c r="D4" t="inlineStr">
        <is>
          <t>Full</t>
        </is>
      </c>
      <c r="F4" t="inlineStr">
        <is>
          <t>Artificer</t>
        </is>
      </c>
      <c r="G4" t="n">
        <v>3</v>
      </c>
      <c r="H4" t="n">
        <v>3</v>
      </c>
      <c r="I4" t="n">
        <v>0</v>
      </c>
      <c r="J4" t="n">
        <v>0</v>
      </c>
      <c r="K4" t="n">
        <v>0</v>
      </c>
      <c r="L4" t="n">
        <v>0</v>
      </c>
      <c r="M4" t="n">
        <v>0</v>
      </c>
      <c r="N4" t="n">
        <v>0</v>
      </c>
      <c r="O4" t="n">
        <v>0</v>
      </c>
      <c r="P4" t="n">
        <v>0</v>
      </c>
    </row>
    <row r="5">
      <c r="A5" t="inlineStr">
        <is>
          <t>Cleric</t>
        </is>
      </c>
      <c r="B5" t="inlineStr">
        <is>
          <t>d8</t>
        </is>
      </c>
      <c r="C5" t="n">
        <v>8</v>
      </c>
      <c r="D5" t="inlineStr">
        <is>
          <t>Full</t>
        </is>
      </c>
      <c r="F5" t="inlineStr">
        <is>
          <t>Artificer</t>
        </is>
      </c>
      <c r="G5" t="n">
        <v>4</v>
      </c>
      <c r="H5" t="n">
        <v>3</v>
      </c>
      <c r="I5" t="n">
        <v>0</v>
      </c>
      <c r="J5" t="n">
        <v>0</v>
      </c>
      <c r="K5" t="n">
        <v>0</v>
      </c>
      <c r="L5" t="n">
        <v>0</v>
      </c>
      <c r="M5" t="n">
        <v>0</v>
      </c>
      <c r="N5" t="n">
        <v>0</v>
      </c>
      <c r="O5" t="n">
        <v>0</v>
      </c>
      <c r="P5" t="n">
        <v>0</v>
      </c>
    </row>
    <row r="6">
      <c r="A6" t="inlineStr">
        <is>
          <t>Druid</t>
        </is>
      </c>
      <c r="B6" t="inlineStr">
        <is>
          <t>d8</t>
        </is>
      </c>
      <c r="C6" t="n">
        <v>8</v>
      </c>
      <c r="D6" t="inlineStr">
        <is>
          <t>Full</t>
        </is>
      </c>
      <c r="F6" t="inlineStr">
        <is>
          <t>Artificer</t>
        </is>
      </c>
      <c r="G6" t="n">
        <v>5</v>
      </c>
      <c r="H6" t="n">
        <v>4</v>
      </c>
      <c r="I6" t="n">
        <v>2</v>
      </c>
      <c r="J6" t="n">
        <v>0</v>
      </c>
      <c r="K6" t="n">
        <v>0</v>
      </c>
      <c r="L6" t="n">
        <v>0</v>
      </c>
      <c r="M6" t="n">
        <v>0</v>
      </c>
      <c r="N6" t="n">
        <v>0</v>
      </c>
      <c r="O6" t="n">
        <v>0</v>
      </c>
      <c r="P6" t="n">
        <v>0</v>
      </c>
    </row>
    <row r="7">
      <c r="A7" t="inlineStr">
        <is>
          <t>Fighter</t>
        </is>
      </c>
      <c r="B7" t="inlineStr">
        <is>
          <t>d10</t>
        </is>
      </c>
      <c r="C7" t="n">
        <v>10</v>
      </c>
      <c r="D7" t="inlineStr">
        <is>
          <t>None</t>
        </is>
      </c>
      <c r="F7" t="inlineStr">
        <is>
          <t>Artificer</t>
        </is>
      </c>
      <c r="G7" t="n">
        <v>6</v>
      </c>
      <c r="H7" t="n">
        <v>4</v>
      </c>
      <c r="I7" t="n">
        <v>2</v>
      </c>
      <c r="J7" t="n">
        <v>0</v>
      </c>
      <c r="K7" t="n">
        <v>0</v>
      </c>
      <c r="L7" t="n">
        <v>0</v>
      </c>
      <c r="M7" t="n">
        <v>0</v>
      </c>
      <c r="N7" t="n">
        <v>0</v>
      </c>
      <c r="O7" t="n">
        <v>0</v>
      </c>
      <c r="P7" t="n">
        <v>0</v>
      </c>
    </row>
    <row r="8">
      <c r="A8" t="inlineStr">
        <is>
          <t>Monk</t>
        </is>
      </c>
      <c r="B8" t="inlineStr">
        <is>
          <t>d8</t>
        </is>
      </c>
      <c r="C8" t="n">
        <v>8</v>
      </c>
      <c r="D8" t="inlineStr">
        <is>
          <t>None</t>
        </is>
      </c>
      <c r="F8" t="inlineStr">
        <is>
          <t>Artificer</t>
        </is>
      </c>
      <c r="G8" t="n">
        <v>7</v>
      </c>
      <c r="H8" t="n">
        <v>4</v>
      </c>
      <c r="I8" t="n">
        <v>3</v>
      </c>
      <c r="J8" t="n">
        <v>0</v>
      </c>
      <c r="K8" t="n">
        <v>0</v>
      </c>
      <c r="L8" t="n">
        <v>0</v>
      </c>
      <c r="M8" t="n">
        <v>0</v>
      </c>
      <c r="N8" t="n">
        <v>0</v>
      </c>
      <c r="O8" t="n">
        <v>0</v>
      </c>
      <c r="P8" t="n">
        <v>0</v>
      </c>
    </row>
    <row r="9">
      <c r="A9" t="inlineStr">
        <is>
          <t>Paladin</t>
        </is>
      </c>
      <c r="B9" t="inlineStr">
        <is>
          <t>d10</t>
        </is>
      </c>
      <c r="C9" t="n">
        <v>10</v>
      </c>
      <c r="D9" t="inlineStr">
        <is>
          <t>Half</t>
        </is>
      </c>
      <c r="F9" t="inlineStr">
        <is>
          <t>Artificer</t>
        </is>
      </c>
      <c r="G9" t="n">
        <v>8</v>
      </c>
      <c r="H9" t="n">
        <v>4</v>
      </c>
      <c r="I9" t="n">
        <v>3</v>
      </c>
      <c r="J9" t="n">
        <v>0</v>
      </c>
      <c r="K9" t="n">
        <v>0</v>
      </c>
      <c r="L9" t="n">
        <v>0</v>
      </c>
      <c r="M9" t="n">
        <v>0</v>
      </c>
      <c r="N9" t="n">
        <v>0</v>
      </c>
      <c r="O9" t="n">
        <v>0</v>
      </c>
      <c r="P9" t="n">
        <v>0</v>
      </c>
    </row>
    <row r="10">
      <c r="A10" t="inlineStr">
        <is>
          <t>Ranger</t>
        </is>
      </c>
      <c r="B10" t="inlineStr">
        <is>
          <t>d10</t>
        </is>
      </c>
      <c r="C10" t="n">
        <v>10</v>
      </c>
      <c r="D10" t="inlineStr">
        <is>
          <t>Half</t>
        </is>
      </c>
      <c r="F10" t="inlineStr">
        <is>
          <t>Artificer</t>
        </is>
      </c>
      <c r="G10" t="n">
        <v>9</v>
      </c>
      <c r="H10" t="n">
        <v>4</v>
      </c>
      <c r="I10" t="n">
        <v>3</v>
      </c>
      <c r="J10" t="n">
        <v>2</v>
      </c>
      <c r="K10" t="n">
        <v>0</v>
      </c>
      <c r="L10" t="n">
        <v>0</v>
      </c>
      <c r="M10" t="n">
        <v>0</v>
      </c>
      <c r="N10" t="n">
        <v>0</v>
      </c>
      <c r="O10" t="n">
        <v>0</v>
      </c>
      <c r="P10" t="n">
        <v>0</v>
      </c>
    </row>
    <row r="11">
      <c r="A11" t="inlineStr">
        <is>
          <t>Rogue</t>
        </is>
      </c>
      <c r="B11" t="inlineStr">
        <is>
          <t>d8</t>
        </is>
      </c>
      <c r="C11" t="n">
        <v>8</v>
      </c>
      <c r="D11" t="inlineStr">
        <is>
          <t>None</t>
        </is>
      </c>
      <c r="F11" t="inlineStr">
        <is>
          <t>Artificer</t>
        </is>
      </c>
      <c r="G11" t="n">
        <v>10</v>
      </c>
      <c r="H11" t="n">
        <v>4</v>
      </c>
      <c r="I11" t="n">
        <v>3</v>
      </c>
      <c r="J11" t="n">
        <v>2</v>
      </c>
      <c r="K11" t="n">
        <v>0</v>
      </c>
      <c r="L11" t="n">
        <v>0</v>
      </c>
      <c r="M11" t="n">
        <v>0</v>
      </c>
      <c r="N11" t="n">
        <v>0</v>
      </c>
      <c r="O11" t="n">
        <v>0</v>
      </c>
      <c r="P11" t="n">
        <v>0</v>
      </c>
    </row>
    <row r="12">
      <c r="A12" t="inlineStr">
        <is>
          <t>Sorcerer</t>
        </is>
      </c>
      <c r="B12" t="inlineStr">
        <is>
          <t>d6</t>
        </is>
      </c>
      <c r="C12" t="n">
        <v>6</v>
      </c>
      <c r="D12" t="inlineStr">
        <is>
          <t>Full</t>
        </is>
      </c>
      <c r="F12" t="inlineStr">
        <is>
          <t>Artificer</t>
        </is>
      </c>
      <c r="G12" t="n">
        <v>11</v>
      </c>
      <c r="H12" t="n">
        <v>4</v>
      </c>
      <c r="I12" t="n">
        <v>3</v>
      </c>
      <c r="J12" t="n">
        <v>3</v>
      </c>
      <c r="K12" t="n">
        <v>0</v>
      </c>
      <c r="L12" t="n">
        <v>0</v>
      </c>
      <c r="M12" t="n">
        <v>0</v>
      </c>
      <c r="N12" t="n">
        <v>0</v>
      </c>
      <c r="O12" t="n">
        <v>0</v>
      </c>
      <c r="P12" t="n">
        <v>0</v>
      </c>
    </row>
    <row r="13">
      <c r="A13" t="inlineStr">
        <is>
          <t>Warlock</t>
        </is>
      </c>
      <c r="B13" t="inlineStr">
        <is>
          <t>d8</t>
        </is>
      </c>
      <c r="C13" t="n">
        <v>8</v>
      </c>
      <c r="D13" t="inlineStr">
        <is>
          <t>Pact</t>
        </is>
      </c>
      <c r="F13" t="inlineStr">
        <is>
          <t>Artificer</t>
        </is>
      </c>
      <c r="G13" t="n">
        <v>12</v>
      </c>
      <c r="H13" t="n">
        <v>4</v>
      </c>
      <c r="I13" t="n">
        <v>3</v>
      </c>
      <c r="J13" t="n">
        <v>3</v>
      </c>
      <c r="K13" t="n">
        <v>0</v>
      </c>
      <c r="L13" t="n">
        <v>0</v>
      </c>
      <c r="M13" t="n">
        <v>0</v>
      </c>
      <c r="N13" t="n">
        <v>0</v>
      </c>
      <c r="O13" t="n">
        <v>0</v>
      </c>
      <c r="P13" t="n">
        <v>0</v>
      </c>
    </row>
    <row r="14">
      <c r="A14" t="inlineStr">
        <is>
          <t>Wizard</t>
        </is>
      </c>
      <c r="B14" t="inlineStr">
        <is>
          <t>d6</t>
        </is>
      </c>
      <c r="C14" t="n">
        <v>6</v>
      </c>
      <c r="D14" t="inlineStr">
        <is>
          <t>Full</t>
        </is>
      </c>
      <c r="F14" t="inlineStr">
        <is>
          <t>Artificer</t>
        </is>
      </c>
      <c r="G14" t="n">
        <v>13</v>
      </c>
      <c r="H14" t="n">
        <v>4</v>
      </c>
      <c r="I14" t="n">
        <v>3</v>
      </c>
      <c r="J14" t="n">
        <v>3</v>
      </c>
      <c r="K14" t="n">
        <v>1</v>
      </c>
      <c r="L14" t="n">
        <v>0</v>
      </c>
      <c r="M14" t="n">
        <v>0</v>
      </c>
      <c r="N14" t="n">
        <v>0</v>
      </c>
      <c r="O14" t="n">
        <v>0</v>
      </c>
      <c r="P14" t="n">
        <v>0</v>
      </c>
    </row>
    <row r="15">
      <c r="F15" t="inlineStr">
        <is>
          <t>Artificer</t>
        </is>
      </c>
      <c r="G15" t="n">
        <v>14</v>
      </c>
      <c r="H15" t="n">
        <v>4</v>
      </c>
      <c r="I15" t="n">
        <v>3</v>
      </c>
      <c r="J15" t="n">
        <v>3</v>
      </c>
      <c r="K15" t="n">
        <v>1</v>
      </c>
      <c r="L15" t="n">
        <v>0</v>
      </c>
      <c r="M15" t="n">
        <v>0</v>
      </c>
      <c r="N15" t="n">
        <v>0</v>
      </c>
      <c r="O15" t="n">
        <v>0</v>
      </c>
      <c r="P15" t="n">
        <v>0</v>
      </c>
    </row>
    <row r="16">
      <c r="F16" t="inlineStr">
        <is>
          <t>Artificer</t>
        </is>
      </c>
      <c r="G16" t="n">
        <v>15</v>
      </c>
      <c r="H16" t="n">
        <v>4</v>
      </c>
      <c r="I16" t="n">
        <v>3</v>
      </c>
      <c r="J16" t="n">
        <v>3</v>
      </c>
      <c r="K16" t="n">
        <v>2</v>
      </c>
      <c r="L16" t="n">
        <v>0</v>
      </c>
      <c r="M16" t="n">
        <v>0</v>
      </c>
      <c r="N16" t="n">
        <v>0</v>
      </c>
      <c r="O16" t="n">
        <v>0</v>
      </c>
      <c r="P16" t="n">
        <v>0</v>
      </c>
    </row>
    <row r="17">
      <c r="F17" t="inlineStr">
        <is>
          <t>Artificer</t>
        </is>
      </c>
      <c r="G17" t="n">
        <v>16</v>
      </c>
      <c r="H17" t="n">
        <v>4</v>
      </c>
      <c r="I17" t="n">
        <v>3</v>
      </c>
      <c r="J17" t="n">
        <v>3</v>
      </c>
      <c r="K17" t="n">
        <v>2</v>
      </c>
      <c r="L17" t="n">
        <v>0</v>
      </c>
      <c r="M17" t="n">
        <v>0</v>
      </c>
      <c r="N17" t="n">
        <v>0</v>
      </c>
      <c r="O17" t="n">
        <v>0</v>
      </c>
      <c r="P17" t="n">
        <v>0</v>
      </c>
    </row>
    <row r="18">
      <c r="F18" t="inlineStr">
        <is>
          <t>Artificer</t>
        </is>
      </c>
      <c r="G18" t="n">
        <v>17</v>
      </c>
      <c r="H18" t="n">
        <v>4</v>
      </c>
      <c r="I18" t="n">
        <v>3</v>
      </c>
      <c r="J18" t="n">
        <v>3</v>
      </c>
      <c r="K18" t="n">
        <v>3</v>
      </c>
      <c r="L18" t="n">
        <v>1</v>
      </c>
      <c r="M18" t="n">
        <v>0</v>
      </c>
      <c r="N18" t="n">
        <v>0</v>
      </c>
      <c r="O18" t="n">
        <v>0</v>
      </c>
      <c r="P18" t="n">
        <v>0</v>
      </c>
    </row>
    <row r="19">
      <c r="F19" t="inlineStr">
        <is>
          <t>Artificer</t>
        </is>
      </c>
      <c r="G19" t="n">
        <v>18</v>
      </c>
      <c r="H19" t="n">
        <v>4</v>
      </c>
      <c r="I19" t="n">
        <v>3</v>
      </c>
      <c r="J19" t="n">
        <v>3</v>
      </c>
      <c r="K19" t="n">
        <v>3</v>
      </c>
      <c r="L19" t="n">
        <v>1</v>
      </c>
      <c r="M19" t="n">
        <v>0</v>
      </c>
      <c r="N19" t="n">
        <v>0</v>
      </c>
      <c r="O19" t="n">
        <v>0</v>
      </c>
      <c r="P19" t="n">
        <v>0</v>
      </c>
    </row>
    <row r="20">
      <c r="F20" t="inlineStr">
        <is>
          <t>Artificer</t>
        </is>
      </c>
      <c r="G20" t="n">
        <v>19</v>
      </c>
      <c r="H20" t="n">
        <v>4</v>
      </c>
      <c r="I20" t="n">
        <v>3</v>
      </c>
      <c r="J20" t="n">
        <v>3</v>
      </c>
      <c r="K20" t="n">
        <v>3</v>
      </c>
      <c r="L20" t="n">
        <v>2</v>
      </c>
      <c r="M20" t="n">
        <v>0</v>
      </c>
      <c r="N20" t="n">
        <v>0</v>
      </c>
      <c r="O20" t="n">
        <v>0</v>
      </c>
      <c r="P20" t="n">
        <v>0</v>
      </c>
    </row>
    <row r="21">
      <c r="F21" t="inlineStr">
        <is>
          <t>Artificer</t>
        </is>
      </c>
      <c r="G21" t="n">
        <v>20</v>
      </c>
      <c r="H21" t="n">
        <v>4</v>
      </c>
      <c r="I21" t="n">
        <v>3</v>
      </c>
      <c r="J21" t="n">
        <v>3</v>
      </c>
      <c r="K21" t="n">
        <v>3</v>
      </c>
      <c r="L21" t="n">
        <v>2</v>
      </c>
      <c r="M21" t="n">
        <v>0</v>
      </c>
      <c r="N21" t="n">
        <v>0</v>
      </c>
      <c r="O21" t="n">
        <v>0</v>
      </c>
      <c r="P21" t="n">
        <v>0</v>
      </c>
    </row>
    <row r="22">
      <c r="F22" t="inlineStr">
        <is>
          <t>Barbarian</t>
        </is>
      </c>
      <c r="G22" t="n">
        <v>1</v>
      </c>
      <c r="H22" t="n">
        <v>0</v>
      </c>
      <c r="I22" t="n">
        <v>0</v>
      </c>
      <c r="J22" t="n">
        <v>0</v>
      </c>
      <c r="K22" t="n">
        <v>0</v>
      </c>
      <c r="L22" t="n">
        <v>0</v>
      </c>
      <c r="M22" t="n">
        <v>0</v>
      </c>
      <c r="N22" t="n">
        <v>0</v>
      </c>
      <c r="O22" t="n">
        <v>0</v>
      </c>
      <c r="P22" t="n">
        <v>0</v>
      </c>
    </row>
    <row r="23">
      <c r="F23" t="inlineStr">
        <is>
          <t>Barbarian</t>
        </is>
      </c>
      <c r="G23" t="n">
        <v>2</v>
      </c>
      <c r="H23" t="n">
        <v>0</v>
      </c>
      <c r="I23" t="n">
        <v>0</v>
      </c>
      <c r="J23" t="n">
        <v>0</v>
      </c>
      <c r="K23" t="n">
        <v>0</v>
      </c>
      <c r="L23" t="n">
        <v>0</v>
      </c>
      <c r="M23" t="n">
        <v>0</v>
      </c>
      <c r="N23" t="n">
        <v>0</v>
      </c>
      <c r="O23" t="n">
        <v>0</v>
      </c>
      <c r="P23" t="n">
        <v>0</v>
      </c>
    </row>
    <row r="24">
      <c r="F24" t="inlineStr">
        <is>
          <t>Barbarian</t>
        </is>
      </c>
      <c r="G24" t="n">
        <v>3</v>
      </c>
      <c r="H24" t="n">
        <v>0</v>
      </c>
      <c r="I24" t="n">
        <v>0</v>
      </c>
      <c r="J24" t="n">
        <v>0</v>
      </c>
      <c r="K24" t="n">
        <v>0</v>
      </c>
      <c r="L24" t="n">
        <v>0</v>
      </c>
      <c r="M24" t="n">
        <v>0</v>
      </c>
      <c r="N24" t="n">
        <v>0</v>
      </c>
      <c r="O24" t="n">
        <v>0</v>
      </c>
      <c r="P24" t="n">
        <v>0</v>
      </c>
    </row>
    <row r="25">
      <c r="F25" t="inlineStr">
        <is>
          <t>Barbarian</t>
        </is>
      </c>
      <c r="G25" t="n">
        <v>4</v>
      </c>
      <c r="H25" t="n">
        <v>0</v>
      </c>
      <c r="I25" t="n">
        <v>0</v>
      </c>
      <c r="J25" t="n">
        <v>0</v>
      </c>
      <c r="K25" t="n">
        <v>0</v>
      </c>
      <c r="L25" t="n">
        <v>0</v>
      </c>
      <c r="M25" t="n">
        <v>0</v>
      </c>
      <c r="N25" t="n">
        <v>0</v>
      </c>
      <c r="O25" t="n">
        <v>0</v>
      </c>
      <c r="P25" t="n">
        <v>0</v>
      </c>
    </row>
    <row r="26">
      <c r="F26" t="inlineStr">
        <is>
          <t>Barbarian</t>
        </is>
      </c>
      <c r="G26" t="n">
        <v>5</v>
      </c>
      <c r="H26" t="n">
        <v>0</v>
      </c>
      <c r="I26" t="n">
        <v>0</v>
      </c>
      <c r="J26" t="n">
        <v>0</v>
      </c>
      <c r="K26" t="n">
        <v>0</v>
      </c>
      <c r="L26" t="n">
        <v>0</v>
      </c>
      <c r="M26" t="n">
        <v>0</v>
      </c>
      <c r="N26" t="n">
        <v>0</v>
      </c>
      <c r="O26" t="n">
        <v>0</v>
      </c>
      <c r="P26" t="n">
        <v>0</v>
      </c>
    </row>
    <row r="27">
      <c r="F27" t="inlineStr">
        <is>
          <t>Barbarian</t>
        </is>
      </c>
      <c r="G27" t="n">
        <v>6</v>
      </c>
      <c r="H27" t="n">
        <v>0</v>
      </c>
      <c r="I27" t="n">
        <v>0</v>
      </c>
      <c r="J27" t="n">
        <v>0</v>
      </c>
      <c r="K27" t="n">
        <v>0</v>
      </c>
      <c r="L27" t="n">
        <v>0</v>
      </c>
      <c r="M27" t="n">
        <v>0</v>
      </c>
      <c r="N27" t="n">
        <v>0</v>
      </c>
      <c r="O27" t="n">
        <v>0</v>
      </c>
      <c r="P27" t="n">
        <v>0</v>
      </c>
    </row>
    <row r="28">
      <c r="F28" t="inlineStr">
        <is>
          <t>Barbarian</t>
        </is>
      </c>
      <c r="G28" t="n">
        <v>7</v>
      </c>
      <c r="H28" t="n">
        <v>0</v>
      </c>
      <c r="I28" t="n">
        <v>0</v>
      </c>
      <c r="J28" t="n">
        <v>0</v>
      </c>
      <c r="K28" t="n">
        <v>0</v>
      </c>
      <c r="L28" t="n">
        <v>0</v>
      </c>
      <c r="M28" t="n">
        <v>0</v>
      </c>
      <c r="N28" t="n">
        <v>0</v>
      </c>
      <c r="O28" t="n">
        <v>0</v>
      </c>
      <c r="P28" t="n">
        <v>0</v>
      </c>
    </row>
    <row r="29">
      <c r="F29" t="inlineStr">
        <is>
          <t>Barbarian</t>
        </is>
      </c>
      <c r="G29" t="n">
        <v>8</v>
      </c>
      <c r="H29" t="n">
        <v>0</v>
      </c>
      <c r="I29" t="n">
        <v>0</v>
      </c>
      <c r="J29" t="n">
        <v>0</v>
      </c>
      <c r="K29" t="n">
        <v>0</v>
      </c>
      <c r="L29" t="n">
        <v>0</v>
      </c>
      <c r="M29" t="n">
        <v>0</v>
      </c>
      <c r="N29" t="n">
        <v>0</v>
      </c>
      <c r="O29" t="n">
        <v>0</v>
      </c>
      <c r="P29" t="n">
        <v>0</v>
      </c>
    </row>
    <row r="30">
      <c r="F30" t="inlineStr">
        <is>
          <t>Barbarian</t>
        </is>
      </c>
      <c r="G30" t="n">
        <v>9</v>
      </c>
      <c r="H30" t="n">
        <v>0</v>
      </c>
      <c r="I30" t="n">
        <v>0</v>
      </c>
      <c r="J30" t="n">
        <v>0</v>
      </c>
      <c r="K30" t="n">
        <v>0</v>
      </c>
      <c r="L30" t="n">
        <v>0</v>
      </c>
      <c r="M30" t="n">
        <v>0</v>
      </c>
      <c r="N30" t="n">
        <v>0</v>
      </c>
      <c r="O30" t="n">
        <v>0</v>
      </c>
      <c r="P30" t="n">
        <v>0</v>
      </c>
    </row>
    <row r="31">
      <c r="F31" t="inlineStr">
        <is>
          <t>Barbarian</t>
        </is>
      </c>
      <c r="G31" t="n">
        <v>10</v>
      </c>
      <c r="H31" t="n">
        <v>0</v>
      </c>
      <c r="I31" t="n">
        <v>0</v>
      </c>
      <c r="J31" t="n">
        <v>0</v>
      </c>
      <c r="K31" t="n">
        <v>0</v>
      </c>
      <c r="L31" t="n">
        <v>0</v>
      </c>
      <c r="M31" t="n">
        <v>0</v>
      </c>
      <c r="N31" t="n">
        <v>0</v>
      </c>
      <c r="O31" t="n">
        <v>0</v>
      </c>
      <c r="P31" t="n">
        <v>0</v>
      </c>
    </row>
    <row r="32">
      <c r="F32" t="inlineStr">
        <is>
          <t>Barbarian</t>
        </is>
      </c>
      <c r="G32" t="n">
        <v>11</v>
      </c>
      <c r="H32" t="n">
        <v>0</v>
      </c>
      <c r="I32" t="n">
        <v>0</v>
      </c>
      <c r="J32" t="n">
        <v>0</v>
      </c>
      <c r="K32" t="n">
        <v>0</v>
      </c>
      <c r="L32" t="n">
        <v>0</v>
      </c>
      <c r="M32" t="n">
        <v>0</v>
      </c>
      <c r="N32" t="n">
        <v>0</v>
      </c>
      <c r="O32" t="n">
        <v>0</v>
      </c>
      <c r="P32" t="n">
        <v>0</v>
      </c>
    </row>
    <row r="33">
      <c r="F33" t="inlineStr">
        <is>
          <t>Barbarian</t>
        </is>
      </c>
      <c r="G33" t="n">
        <v>12</v>
      </c>
      <c r="H33" t="n">
        <v>0</v>
      </c>
      <c r="I33" t="n">
        <v>0</v>
      </c>
      <c r="J33" t="n">
        <v>0</v>
      </c>
      <c r="K33" t="n">
        <v>0</v>
      </c>
      <c r="L33" t="n">
        <v>0</v>
      </c>
      <c r="M33" t="n">
        <v>0</v>
      </c>
      <c r="N33" t="n">
        <v>0</v>
      </c>
      <c r="O33" t="n">
        <v>0</v>
      </c>
      <c r="P33" t="n">
        <v>0</v>
      </c>
    </row>
    <row r="34">
      <c r="F34" t="inlineStr">
        <is>
          <t>Barbarian</t>
        </is>
      </c>
      <c r="G34" t="n">
        <v>13</v>
      </c>
      <c r="H34" t="n">
        <v>0</v>
      </c>
      <c r="I34" t="n">
        <v>0</v>
      </c>
      <c r="J34" t="n">
        <v>0</v>
      </c>
      <c r="K34" t="n">
        <v>0</v>
      </c>
      <c r="L34" t="n">
        <v>0</v>
      </c>
      <c r="M34" t="n">
        <v>0</v>
      </c>
      <c r="N34" t="n">
        <v>0</v>
      </c>
      <c r="O34" t="n">
        <v>0</v>
      </c>
      <c r="P34" t="n">
        <v>0</v>
      </c>
    </row>
    <row r="35">
      <c r="F35" t="inlineStr">
        <is>
          <t>Barbarian</t>
        </is>
      </c>
      <c r="G35" t="n">
        <v>14</v>
      </c>
      <c r="H35" t="n">
        <v>0</v>
      </c>
      <c r="I35" t="n">
        <v>0</v>
      </c>
      <c r="J35" t="n">
        <v>0</v>
      </c>
      <c r="K35" t="n">
        <v>0</v>
      </c>
      <c r="L35" t="n">
        <v>0</v>
      </c>
      <c r="M35" t="n">
        <v>0</v>
      </c>
      <c r="N35" t="n">
        <v>0</v>
      </c>
      <c r="O35" t="n">
        <v>0</v>
      </c>
      <c r="P35" t="n">
        <v>0</v>
      </c>
    </row>
    <row r="36">
      <c r="F36" t="inlineStr">
        <is>
          <t>Barbarian</t>
        </is>
      </c>
      <c r="G36" t="n">
        <v>15</v>
      </c>
      <c r="H36" t="n">
        <v>0</v>
      </c>
      <c r="I36" t="n">
        <v>0</v>
      </c>
      <c r="J36" t="n">
        <v>0</v>
      </c>
      <c r="K36" t="n">
        <v>0</v>
      </c>
      <c r="L36" t="n">
        <v>0</v>
      </c>
      <c r="M36" t="n">
        <v>0</v>
      </c>
      <c r="N36" t="n">
        <v>0</v>
      </c>
      <c r="O36" t="n">
        <v>0</v>
      </c>
      <c r="P36" t="n">
        <v>0</v>
      </c>
    </row>
    <row r="37">
      <c r="F37" t="inlineStr">
        <is>
          <t>Barbarian</t>
        </is>
      </c>
      <c r="G37" t="n">
        <v>16</v>
      </c>
      <c r="H37" t="n">
        <v>0</v>
      </c>
      <c r="I37" t="n">
        <v>0</v>
      </c>
      <c r="J37" t="n">
        <v>0</v>
      </c>
      <c r="K37" t="n">
        <v>0</v>
      </c>
      <c r="L37" t="n">
        <v>0</v>
      </c>
      <c r="M37" t="n">
        <v>0</v>
      </c>
      <c r="N37" t="n">
        <v>0</v>
      </c>
      <c r="O37" t="n">
        <v>0</v>
      </c>
      <c r="P37" t="n">
        <v>0</v>
      </c>
    </row>
    <row r="38">
      <c r="F38" t="inlineStr">
        <is>
          <t>Barbarian</t>
        </is>
      </c>
      <c r="G38" t="n">
        <v>17</v>
      </c>
      <c r="H38" t="n">
        <v>0</v>
      </c>
      <c r="I38" t="n">
        <v>0</v>
      </c>
      <c r="J38" t="n">
        <v>0</v>
      </c>
      <c r="K38" t="n">
        <v>0</v>
      </c>
      <c r="L38" t="n">
        <v>0</v>
      </c>
      <c r="M38" t="n">
        <v>0</v>
      </c>
      <c r="N38" t="n">
        <v>0</v>
      </c>
      <c r="O38" t="n">
        <v>0</v>
      </c>
      <c r="P38" t="n">
        <v>0</v>
      </c>
    </row>
    <row r="39">
      <c r="F39" t="inlineStr">
        <is>
          <t>Barbarian</t>
        </is>
      </c>
      <c r="G39" t="n">
        <v>18</v>
      </c>
      <c r="H39" t="n">
        <v>0</v>
      </c>
      <c r="I39" t="n">
        <v>0</v>
      </c>
      <c r="J39" t="n">
        <v>0</v>
      </c>
      <c r="K39" t="n">
        <v>0</v>
      </c>
      <c r="L39" t="n">
        <v>0</v>
      </c>
      <c r="M39" t="n">
        <v>0</v>
      </c>
      <c r="N39" t="n">
        <v>0</v>
      </c>
      <c r="O39" t="n">
        <v>0</v>
      </c>
      <c r="P39" t="n">
        <v>0</v>
      </c>
    </row>
    <row r="40">
      <c r="F40" t="inlineStr">
        <is>
          <t>Barbarian</t>
        </is>
      </c>
      <c r="G40" t="n">
        <v>19</v>
      </c>
      <c r="H40" t="n">
        <v>0</v>
      </c>
      <c r="I40" t="n">
        <v>0</v>
      </c>
      <c r="J40" t="n">
        <v>0</v>
      </c>
      <c r="K40" t="n">
        <v>0</v>
      </c>
      <c r="L40" t="n">
        <v>0</v>
      </c>
      <c r="M40" t="n">
        <v>0</v>
      </c>
      <c r="N40" t="n">
        <v>0</v>
      </c>
      <c r="O40" t="n">
        <v>0</v>
      </c>
      <c r="P40" t="n">
        <v>0</v>
      </c>
    </row>
    <row r="41">
      <c r="F41" t="inlineStr">
        <is>
          <t>Barbarian</t>
        </is>
      </c>
      <c r="G41" t="n">
        <v>20</v>
      </c>
      <c r="H41" t="n">
        <v>0</v>
      </c>
      <c r="I41" t="n">
        <v>0</v>
      </c>
      <c r="J41" t="n">
        <v>0</v>
      </c>
      <c r="K41" t="n">
        <v>0</v>
      </c>
      <c r="L41" t="n">
        <v>0</v>
      </c>
      <c r="M41" t="n">
        <v>0</v>
      </c>
      <c r="N41" t="n">
        <v>0</v>
      </c>
      <c r="O41" t="n">
        <v>0</v>
      </c>
      <c r="P41" t="n">
        <v>0</v>
      </c>
    </row>
    <row r="42">
      <c r="F42" t="inlineStr">
        <is>
          <t>Bard</t>
        </is>
      </c>
      <c r="G42" t="n">
        <v>1</v>
      </c>
      <c r="H42" t="n">
        <v>2</v>
      </c>
      <c r="I42" t="n">
        <v>0</v>
      </c>
      <c r="J42" t="n">
        <v>0</v>
      </c>
      <c r="K42" t="n">
        <v>0</v>
      </c>
      <c r="L42" t="n">
        <v>0</v>
      </c>
      <c r="M42" t="n">
        <v>0</v>
      </c>
      <c r="N42" t="n">
        <v>0</v>
      </c>
      <c r="O42" t="n">
        <v>0</v>
      </c>
      <c r="P42" t="n">
        <v>0</v>
      </c>
    </row>
    <row r="43">
      <c r="F43" t="inlineStr">
        <is>
          <t>Bard</t>
        </is>
      </c>
      <c r="G43" t="n">
        <v>2</v>
      </c>
      <c r="H43" t="n">
        <v>3</v>
      </c>
      <c r="I43" t="n">
        <v>0</v>
      </c>
      <c r="J43" t="n">
        <v>0</v>
      </c>
      <c r="K43" t="n">
        <v>0</v>
      </c>
      <c r="L43" t="n">
        <v>0</v>
      </c>
      <c r="M43" t="n">
        <v>0</v>
      </c>
      <c r="N43" t="n">
        <v>0</v>
      </c>
      <c r="O43" t="n">
        <v>0</v>
      </c>
      <c r="P43" t="n">
        <v>0</v>
      </c>
    </row>
    <row r="44">
      <c r="F44" t="inlineStr">
        <is>
          <t>Bard</t>
        </is>
      </c>
      <c r="G44" t="n">
        <v>3</v>
      </c>
      <c r="H44" t="n">
        <v>4</v>
      </c>
      <c r="I44" t="n">
        <v>2</v>
      </c>
      <c r="J44" t="n">
        <v>0</v>
      </c>
      <c r="K44" t="n">
        <v>0</v>
      </c>
      <c r="L44" t="n">
        <v>0</v>
      </c>
      <c r="M44" t="n">
        <v>0</v>
      </c>
      <c r="N44" t="n">
        <v>0</v>
      </c>
      <c r="O44" t="n">
        <v>0</v>
      </c>
      <c r="P44" t="n">
        <v>0</v>
      </c>
    </row>
    <row r="45">
      <c r="F45" t="inlineStr">
        <is>
          <t>Bard</t>
        </is>
      </c>
      <c r="G45" t="n">
        <v>4</v>
      </c>
      <c r="H45" t="n">
        <v>4</v>
      </c>
      <c r="I45" t="n">
        <v>3</v>
      </c>
      <c r="J45" t="n">
        <v>0</v>
      </c>
      <c r="K45" t="n">
        <v>0</v>
      </c>
      <c r="L45" t="n">
        <v>0</v>
      </c>
      <c r="M45" t="n">
        <v>0</v>
      </c>
      <c r="N45" t="n">
        <v>0</v>
      </c>
      <c r="O45" t="n">
        <v>0</v>
      </c>
      <c r="P45" t="n">
        <v>0</v>
      </c>
    </row>
    <row r="46">
      <c r="F46" t="inlineStr">
        <is>
          <t>Bard</t>
        </is>
      </c>
      <c r="G46" t="n">
        <v>5</v>
      </c>
      <c r="H46" t="n">
        <v>4</v>
      </c>
      <c r="I46" t="n">
        <v>3</v>
      </c>
      <c r="J46" t="n">
        <v>2</v>
      </c>
      <c r="K46" t="n">
        <v>0</v>
      </c>
      <c r="L46" t="n">
        <v>0</v>
      </c>
      <c r="M46" t="n">
        <v>0</v>
      </c>
      <c r="N46" t="n">
        <v>0</v>
      </c>
      <c r="O46" t="n">
        <v>0</v>
      </c>
      <c r="P46" t="n">
        <v>0</v>
      </c>
    </row>
    <row r="47">
      <c r="F47" t="inlineStr">
        <is>
          <t>Bard</t>
        </is>
      </c>
      <c r="G47" t="n">
        <v>6</v>
      </c>
      <c r="H47" t="n">
        <v>4</v>
      </c>
      <c r="I47" t="n">
        <v>3</v>
      </c>
      <c r="J47" t="n">
        <v>3</v>
      </c>
      <c r="K47" t="n">
        <v>0</v>
      </c>
      <c r="L47" t="n">
        <v>0</v>
      </c>
      <c r="M47" t="n">
        <v>0</v>
      </c>
      <c r="N47" t="n">
        <v>0</v>
      </c>
      <c r="O47" t="n">
        <v>0</v>
      </c>
      <c r="P47" t="n">
        <v>0</v>
      </c>
    </row>
    <row r="48">
      <c r="F48" t="inlineStr">
        <is>
          <t>Bard</t>
        </is>
      </c>
      <c r="G48" t="n">
        <v>7</v>
      </c>
      <c r="H48" t="n">
        <v>4</v>
      </c>
      <c r="I48" t="n">
        <v>3</v>
      </c>
      <c r="J48" t="n">
        <v>3</v>
      </c>
      <c r="K48" t="n">
        <v>1</v>
      </c>
      <c r="L48" t="n">
        <v>0</v>
      </c>
      <c r="M48" t="n">
        <v>0</v>
      </c>
      <c r="N48" t="n">
        <v>0</v>
      </c>
      <c r="O48" t="n">
        <v>0</v>
      </c>
      <c r="P48" t="n">
        <v>0</v>
      </c>
    </row>
    <row r="49">
      <c r="F49" t="inlineStr">
        <is>
          <t>Bard</t>
        </is>
      </c>
      <c r="G49" t="n">
        <v>8</v>
      </c>
      <c r="H49" t="n">
        <v>4</v>
      </c>
      <c r="I49" t="n">
        <v>3</v>
      </c>
      <c r="J49" t="n">
        <v>3</v>
      </c>
      <c r="K49" t="n">
        <v>2</v>
      </c>
      <c r="L49" t="n">
        <v>0</v>
      </c>
      <c r="M49" t="n">
        <v>0</v>
      </c>
      <c r="N49" t="n">
        <v>0</v>
      </c>
      <c r="O49" t="n">
        <v>0</v>
      </c>
      <c r="P49" t="n">
        <v>0</v>
      </c>
    </row>
    <row r="50">
      <c r="F50" t="inlineStr">
        <is>
          <t>Bard</t>
        </is>
      </c>
      <c r="G50" t="n">
        <v>9</v>
      </c>
      <c r="H50" t="n">
        <v>4</v>
      </c>
      <c r="I50" t="n">
        <v>3</v>
      </c>
      <c r="J50" t="n">
        <v>3</v>
      </c>
      <c r="K50" t="n">
        <v>3</v>
      </c>
      <c r="L50" t="n">
        <v>1</v>
      </c>
      <c r="M50" t="n">
        <v>0</v>
      </c>
      <c r="N50" t="n">
        <v>0</v>
      </c>
      <c r="O50" t="n">
        <v>0</v>
      </c>
      <c r="P50" t="n">
        <v>0</v>
      </c>
    </row>
    <row r="51">
      <c r="F51" t="inlineStr">
        <is>
          <t>Bard</t>
        </is>
      </c>
      <c r="G51" t="n">
        <v>10</v>
      </c>
      <c r="H51" t="n">
        <v>4</v>
      </c>
      <c r="I51" t="n">
        <v>3</v>
      </c>
      <c r="J51" t="n">
        <v>3</v>
      </c>
      <c r="K51" t="n">
        <v>3</v>
      </c>
      <c r="L51" t="n">
        <v>2</v>
      </c>
      <c r="M51" t="n">
        <v>0</v>
      </c>
      <c r="N51" t="n">
        <v>0</v>
      </c>
      <c r="O51" t="n">
        <v>0</v>
      </c>
      <c r="P51" t="n">
        <v>0</v>
      </c>
    </row>
    <row r="52">
      <c r="F52" t="inlineStr">
        <is>
          <t>Bard</t>
        </is>
      </c>
      <c r="G52" t="n">
        <v>11</v>
      </c>
      <c r="H52" t="n">
        <v>4</v>
      </c>
      <c r="I52" t="n">
        <v>3</v>
      </c>
      <c r="J52" t="n">
        <v>3</v>
      </c>
      <c r="K52" t="n">
        <v>3</v>
      </c>
      <c r="L52" t="n">
        <v>2</v>
      </c>
      <c r="M52" t="n">
        <v>1</v>
      </c>
      <c r="N52" t="n">
        <v>0</v>
      </c>
      <c r="O52" t="n">
        <v>0</v>
      </c>
      <c r="P52" t="n">
        <v>0</v>
      </c>
    </row>
    <row r="53">
      <c r="F53" t="inlineStr">
        <is>
          <t>Bard</t>
        </is>
      </c>
      <c r="G53" t="n">
        <v>12</v>
      </c>
      <c r="H53" t="n">
        <v>4</v>
      </c>
      <c r="I53" t="n">
        <v>3</v>
      </c>
      <c r="J53" t="n">
        <v>3</v>
      </c>
      <c r="K53" t="n">
        <v>3</v>
      </c>
      <c r="L53" t="n">
        <v>2</v>
      </c>
      <c r="M53" t="n">
        <v>1</v>
      </c>
      <c r="N53" t="n">
        <v>0</v>
      </c>
      <c r="O53" t="n">
        <v>0</v>
      </c>
      <c r="P53" t="n">
        <v>0</v>
      </c>
    </row>
    <row r="54">
      <c r="F54" t="inlineStr">
        <is>
          <t>Bard</t>
        </is>
      </c>
      <c r="G54" t="n">
        <v>13</v>
      </c>
      <c r="H54" t="n">
        <v>4</v>
      </c>
      <c r="I54" t="n">
        <v>3</v>
      </c>
      <c r="J54" t="n">
        <v>3</v>
      </c>
      <c r="K54" t="n">
        <v>3</v>
      </c>
      <c r="L54" t="n">
        <v>2</v>
      </c>
      <c r="M54" t="n">
        <v>1</v>
      </c>
      <c r="N54" t="n">
        <v>1</v>
      </c>
      <c r="O54" t="n">
        <v>0</v>
      </c>
      <c r="P54" t="n">
        <v>0</v>
      </c>
    </row>
    <row r="55">
      <c r="F55" t="inlineStr">
        <is>
          <t>Bard</t>
        </is>
      </c>
      <c r="G55" t="n">
        <v>14</v>
      </c>
      <c r="H55" t="n">
        <v>4</v>
      </c>
      <c r="I55" t="n">
        <v>3</v>
      </c>
      <c r="J55" t="n">
        <v>3</v>
      </c>
      <c r="K55" t="n">
        <v>3</v>
      </c>
      <c r="L55" t="n">
        <v>2</v>
      </c>
      <c r="M55" t="n">
        <v>1</v>
      </c>
      <c r="N55" t="n">
        <v>1</v>
      </c>
      <c r="O55" t="n">
        <v>0</v>
      </c>
      <c r="P55" t="n">
        <v>0</v>
      </c>
    </row>
    <row r="56">
      <c r="F56" t="inlineStr">
        <is>
          <t>Bard</t>
        </is>
      </c>
      <c r="G56" t="n">
        <v>15</v>
      </c>
      <c r="H56" t="n">
        <v>4</v>
      </c>
      <c r="I56" t="n">
        <v>3</v>
      </c>
      <c r="J56" t="n">
        <v>3</v>
      </c>
      <c r="K56" t="n">
        <v>3</v>
      </c>
      <c r="L56" t="n">
        <v>2</v>
      </c>
      <c r="M56" t="n">
        <v>1</v>
      </c>
      <c r="N56" t="n">
        <v>1</v>
      </c>
      <c r="O56" t="n">
        <v>1</v>
      </c>
      <c r="P56" t="n">
        <v>0</v>
      </c>
    </row>
    <row r="57">
      <c r="F57" t="inlineStr">
        <is>
          <t>Bard</t>
        </is>
      </c>
      <c r="G57" t="n">
        <v>16</v>
      </c>
      <c r="H57" t="n">
        <v>4</v>
      </c>
      <c r="I57" t="n">
        <v>3</v>
      </c>
      <c r="J57" t="n">
        <v>3</v>
      </c>
      <c r="K57" t="n">
        <v>3</v>
      </c>
      <c r="L57" t="n">
        <v>2</v>
      </c>
      <c r="M57" t="n">
        <v>1</v>
      </c>
      <c r="N57" t="n">
        <v>1</v>
      </c>
      <c r="O57" t="n">
        <v>1</v>
      </c>
      <c r="P57" t="n">
        <v>0</v>
      </c>
    </row>
    <row r="58">
      <c r="F58" t="inlineStr">
        <is>
          <t>Bard</t>
        </is>
      </c>
      <c r="G58" t="n">
        <v>17</v>
      </c>
      <c r="H58" t="n">
        <v>4</v>
      </c>
      <c r="I58" t="n">
        <v>3</v>
      </c>
      <c r="J58" t="n">
        <v>3</v>
      </c>
      <c r="K58" t="n">
        <v>3</v>
      </c>
      <c r="L58" t="n">
        <v>2</v>
      </c>
      <c r="M58" t="n">
        <v>1</v>
      </c>
      <c r="N58" t="n">
        <v>1</v>
      </c>
      <c r="O58" t="n">
        <v>1</v>
      </c>
      <c r="P58" t="n">
        <v>1</v>
      </c>
    </row>
    <row r="59">
      <c r="F59" t="inlineStr">
        <is>
          <t>Bard</t>
        </is>
      </c>
      <c r="G59" t="n">
        <v>18</v>
      </c>
      <c r="H59" t="n">
        <v>4</v>
      </c>
      <c r="I59" t="n">
        <v>3</v>
      </c>
      <c r="J59" t="n">
        <v>3</v>
      </c>
      <c r="K59" t="n">
        <v>3</v>
      </c>
      <c r="L59" t="n">
        <v>3</v>
      </c>
      <c r="M59" t="n">
        <v>1</v>
      </c>
      <c r="N59" t="n">
        <v>1</v>
      </c>
      <c r="O59" t="n">
        <v>1</v>
      </c>
      <c r="P59" t="n">
        <v>1</v>
      </c>
    </row>
    <row r="60">
      <c r="F60" t="inlineStr">
        <is>
          <t>Bard</t>
        </is>
      </c>
      <c r="G60" t="n">
        <v>19</v>
      </c>
      <c r="H60" t="n">
        <v>4</v>
      </c>
      <c r="I60" t="n">
        <v>3</v>
      </c>
      <c r="J60" t="n">
        <v>3</v>
      </c>
      <c r="K60" t="n">
        <v>3</v>
      </c>
      <c r="L60" t="n">
        <v>3</v>
      </c>
      <c r="M60" t="n">
        <v>2</v>
      </c>
      <c r="N60" t="n">
        <v>1</v>
      </c>
      <c r="O60" t="n">
        <v>1</v>
      </c>
      <c r="P60" t="n">
        <v>1</v>
      </c>
    </row>
    <row r="61">
      <c r="F61" t="inlineStr">
        <is>
          <t>Bard</t>
        </is>
      </c>
      <c r="G61" t="n">
        <v>20</v>
      </c>
      <c r="H61" t="n">
        <v>4</v>
      </c>
      <c r="I61" t="n">
        <v>3</v>
      </c>
      <c r="J61" t="n">
        <v>3</v>
      </c>
      <c r="K61" t="n">
        <v>3</v>
      </c>
      <c r="L61" t="n">
        <v>3</v>
      </c>
      <c r="M61" t="n">
        <v>2</v>
      </c>
      <c r="N61" t="n">
        <v>2</v>
      </c>
      <c r="O61" t="n">
        <v>1</v>
      </c>
      <c r="P61" t="n">
        <v>1</v>
      </c>
    </row>
    <row r="62">
      <c r="F62" t="inlineStr">
        <is>
          <t>Cleric</t>
        </is>
      </c>
      <c r="G62" t="n">
        <v>1</v>
      </c>
      <c r="H62" t="n">
        <v>2</v>
      </c>
      <c r="I62" t="n">
        <v>0</v>
      </c>
      <c r="J62" t="n">
        <v>0</v>
      </c>
      <c r="K62" t="n">
        <v>0</v>
      </c>
      <c r="L62" t="n">
        <v>0</v>
      </c>
      <c r="M62" t="n">
        <v>0</v>
      </c>
      <c r="N62" t="n">
        <v>0</v>
      </c>
      <c r="O62" t="n">
        <v>0</v>
      </c>
      <c r="P62" t="n">
        <v>0</v>
      </c>
    </row>
    <row r="63">
      <c r="F63" t="inlineStr">
        <is>
          <t>Cleric</t>
        </is>
      </c>
      <c r="G63" t="n">
        <v>2</v>
      </c>
      <c r="H63" t="n">
        <v>3</v>
      </c>
      <c r="I63" t="n">
        <v>0</v>
      </c>
      <c r="J63" t="n">
        <v>0</v>
      </c>
      <c r="K63" t="n">
        <v>0</v>
      </c>
      <c r="L63" t="n">
        <v>0</v>
      </c>
      <c r="M63" t="n">
        <v>0</v>
      </c>
      <c r="N63" t="n">
        <v>0</v>
      </c>
      <c r="O63" t="n">
        <v>0</v>
      </c>
      <c r="P63" t="n">
        <v>0</v>
      </c>
    </row>
    <row r="64">
      <c r="F64" t="inlineStr">
        <is>
          <t>Cleric</t>
        </is>
      </c>
      <c r="G64" t="n">
        <v>3</v>
      </c>
      <c r="H64" t="n">
        <v>4</v>
      </c>
      <c r="I64" t="n">
        <v>2</v>
      </c>
      <c r="J64" t="n">
        <v>0</v>
      </c>
      <c r="K64" t="n">
        <v>0</v>
      </c>
      <c r="L64" t="n">
        <v>0</v>
      </c>
      <c r="M64" t="n">
        <v>0</v>
      </c>
      <c r="N64" t="n">
        <v>0</v>
      </c>
      <c r="O64" t="n">
        <v>0</v>
      </c>
      <c r="P64" t="n">
        <v>0</v>
      </c>
    </row>
    <row r="65">
      <c r="F65" t="inlineStr">
        <is>
          <t>Cleric</t>
        </is>
      </c>
      <c r="G65" t="n">
        <v>4</v>
      </c>
      <c r="H65" t="n">
        <v>4</v>
      </c>
      <c r="I65" t="n">
        <v>3</v>
      </c>
      <c r="J65" t="n">
        <v>0</v>
      </c>
      <c r="K65" t="n">
        <v>0</v>
      </c>
      <c r="L65" t="n">
        <v>0</v>
      </c>
      <c r="M65" t="n">
        <v>0</v>
      </c>
      <c r="N65" t="n">
        <v>0</v>
      </c>
      <c r="O65" t="n">
        <v>0</v>
      </c>
      <c r="P65" t="n">
        <v>0</v>
      </c>
    </row>
    <row r="66">
      <c r="F66" t="inlineStr">
        <is>
          <t>Cleric</t>
        </is>
      </c>
      <c r="G66" t="n">
        <v>5</v>
      </c>
      <c r="H66" t="n">
        <v>4</v>
      </c>
      <c r="I66" t="n">
        <v>3</v>
      </c>
      <c r="J66" t="n">
        <v>2</v>
      </c>
      <c r="K66" t="n">
        <v>0</v>
      </c>
      <c r="L66" t="n">
        <v>0</v>
      </c>
      <c r="M66" t="n">
        <v>0</v>
      </c>
      <c r="N66" t="n">
        <v>0</v>
      </c>
      <c r="O66" t="n">
        <v>0</v>
      </c>
      <c r="P66" t="n">
        <v>0</v>
      </c>
    </row>
    <row r="67">
      <c r="F67" t="inlineStr">
        <is>
          <t>Cleric</t>
        </is>
      </c>
      <c r="G67" t="n">
        <v>6</v>
      </c>
      <c r="H67" t="n">
        <v>4</v>
      </c>
      <c r="I67" t="n">
        <v>3</v>
      </c>
      <c r="J67" t="n">
        <v>3</v>
      </c>
      <c r="K67" t="n">
        <v>0</v>
      </c>
      <c r="L67" t="n">
        <v>0</v>
      </c>
      <c r="M67" t="n">
        <v>0</v>
      </c>
      <c r="N67" t="n">
        <v>0</v>
      </c>
      <c r="O67" t="n">
        <v>0</v>
      </c>
      <c r="P67" t="n">
        <v>0</v>
      </c>
    </row>
    <row r="68">
      <c r="F68" t="inlineStr">
        <is>
          <t>Cleric</t>
        </is>
      </c>
      <c r="G68" t="n">
        <v>7</v>
      </c>
      <c r="H68" t="n">
        <v>4</v>
      </c>
      <c r="I68" t="n">
        <v>3</v>
      </c>
      <c r="J68" t="n">
        <v>3</v>
      </c>
      <c r="K68" t="n">
        <v>1</v>
      </c>
      <c r="L68" t="n">
        <v>0</v>
      </c>
      <c r="M68" t="n">
        <v>0</v>
      </c>
      <c r="N68" t="n">
        <v>0</v>
      </c>
      <c r="O68" t="n">
        <v>0</v>
      </c>
      <c r="P68" t="n">
        <v>0</v>
      </c>
    </row>
    <row r="69">
      <c r="F69" t="inlineStr">
        <is>
          <t>Cleric</t>
        </is>
      </c>
      <c r="G69" t="n">
        <v>8</v>
      </c>
      <c r="H69" t="n">
        <v>4</v>
      </c>
      <c r="I69" t="n">
        <v>3</v>
      </c>
      <c r="J69" t="n">
        <v>3</v>
      </c>
      <c r="K69" t="n">
        <v>2</v>
      </c>
      <c r="L69" t="n">
        <v>0</v>
      </c>
      <c r="M69" t="n">
        <v>0</v>
      </c>
      <c r="N69" t="n">
        <v>0</v>
      </c>
      <c r="O69" t="n">
        <v>0</v>
      </c>
      <c r="P69" t="n">
        <v>0</v>
      </c>
    </row>
    <row r="70">
      <c r="F70" t="inlineStr">
        <is>
          <t>Cleric</t>
        </is>
      </c>
      <c r="G70" t="n">
        <v>9</v>
      </c>
      <c r="H70" t="n">
        <v>4</v>
      </c>
      <c r="I70" t="n">
        <v>3</v>
      </c>
      <c r="J70" t="n">
        <v>3</v>
      </c>
      <c r="K70" t="n">
        <v>3</v>
      </c>
      <c r="L70" t="n">
        <v>1</v>
      </c>
      <c r="M70" t="n">
        <v>0</v>
      </c>
      <c r="N70" t="n">
        <v>0</v>
      </c>
      <c r="O70" t="n">
        <v>0</v>
      </c>
      <c r="P70" t="n">
        <v>0</v>
      </c>
    </row>
    <row r="71">
      <c r="F71" t="inlineStr">
        <is>
          <t>Cleric</t>
        </is>
      </c>
      <c r="G71" t="n">
        <v>10</v>
      </c>
      <c r="H71" t="n">
        <v>4</v>
      </c>
      <c r="I71" t="n">
        <v>3</v>
      </c>
      <c r="J71" t="n">
        <v>3</v>
      </c>
      <c r="K71" t="n">
        <v>3</v>
      </c>
      <c r="L71" t="n">
        <v>2</v>
      </c>
      <c r="M71" t="n">
        <v>0</v>
      </c>
      <c r="N71" t="n">
        <v>0</v>
      </c>
      <c r="O71" t="n">
        <v>0</v>
      </c>
      <c r="P71" t="n">
        <v>0</v>
      </c>
    </row>
    <row r="72">
      <c r="F72" t="inlineStr">
        <is>
          <t>Cleric</t>
        </is>
      </c>
      <c r="G72" t="n">
        <v>11</v>
      </c>
      <c r="H72" t="n">
        <v>4</v>
      </c>
      <c r="I72" t="n">
        <v>3</v>
      </c>
      <c r="J72" t="n">
        <v>3</v>
      </c>
      <c r="K72" t="n">
        <v>3</v>
      </c>
      <c r="L72" t="n">
        <v>2</v>
      </c>
      <c r="M72" t="n">
        <v>1</v>
      </c>
      <c r="N72" t="n">
        <v>0</v>
      </c>
      <c r="O72" t="n">
        <v>0</v>
      </c>
      <c r="P72" t="n">
        <v>0</v>
      </c>
    </row>
    <row r="73">
      <c r="F73" t="inlineStr">
        <is>
          <t>Cleric</t>
        </is>
      </c>
      <c r="G73" t="n">
        <v>12</v>
      </c>
      <c r="H73" t="n">
        <v>4</v>
      </c>
      <c r="I73" t="n">
        <v>3</v>
      </c>
      <c r="J73" t="n">
        <v>3</v>
      </c>
      <c r="K73" t="n">
        <v>3</v>
      </c>
      <c r="L73" t="n">
        <v>2</v>
      </c>
      <c r="M73" t="n">
        <v>1</v>
      </c>
      <c r="N73" t="n">
        <v>0</v>
      </c>
      <c r="O73" t="n">
        <v>0</v>
      </c>
      <c r="P73" t="n">
        <v>0</v>
      </c>
    </row>
    <row r="74">
      <c r="F74" t="inlineStr">
        <is>
          <t>Cleric</t>
        </is>
      </c>
      <c r="G74" t="n">
        <v>13</v>
      </c>
      <c r="H74" t="n">
        <v>4</v>
      </c>
      <c r="I74" t="n">
        <v>3</v>
      </c>
      <c r="J74" t="n">
        <v>3</v>
      </c>
      <c r="K74" t="n">
        <v>3</v>
      </c>
      <c r="L74" t="n">
        <v>2</v>
      </c>
      <c r="M74" t="n">
        <v>1</v>
      </c>
      <c r="N74" t="n">
        <v>1</v>
      </c>
      <c r="O74" t="n">
        <v>0</v>
      </c>
      <c r="P74" t="n">
        <v>0</v>
      </c>
    </row>
    <row r="75">
      <c r="F75" t="inlineStr">
        <is>
          <t>Cleric</t>
        </is>
      </c>
      <c r="G75" t="n">
        <v>14</v>
      </c>
      <c r="H75" t="n">
        <v>4</v>
      </c>
      <c r="I75" t="n">
        <v>3</v>
      </c>
      <c r="J75" t="n">
        <v>3</v>
      </c>
      <c r="K75" t="n">
        <v>3</v>
      </c>
      <c r="L75" t="n">
        <v>2</v>
      </c>
      <c r="M75" t="n">
        <v>1</v>
      </c>
      <c r="N75" t="n">
        <v>1</v>
      </c>
      <c r="O75" t="n">
        <v>0</v>
      </c>
      <c r="P75" t="n">
        <v>0</v>
      </c>
    </row>
    <row r="76">
      <c r="F76" t="inlineStr">
        <is>
          <t>Cleric</t>
        </is>
      </c>
      <c r="G76" t="n">
        <v>15</v>
      </c>
      <c r="H76" t="n">
        <v>4</v>
      </c>
      <c r="I76" t="n">
        <v>3</v>
      </c>
      <c r="J76" t="n">
        <v>3</v>
      </c>
      <c r="K76" t="n">
        <v>3</v>
      </c>
      <c r="L76" t="n">
        <v>2</v>
      </c>
      <c r="M76" t="n">
        <v>1</v>
      </c>
      <c r="N76" t="n">
        <v>1</v>
      </c>
      <c r="O76" t="n">
        <v>1</v>
      </c>
      <c r="P76" t="n">
        <v>0</v>
      </c>
    </row>
    <row r="77">
      <c r="F77" t="inlineStr">
        <is>
          <t>Cleric</t>
        </is>
      </c>
      <c r="G77" t="n">
        <v>16</v>
      </c>
      <c r="H77" t="n">
        <v>4</v>
      </c>
      <c r="I77" t="n">
        <v>3</v>
      </c>
      <c r="J77" t="n">
        <v>3</v>
      </c>
      <c r="K77" t="n">
        <v>3</v>
      </c>
      <c r="L77" t="n">
        <v>2</v>
      </c>
      <c r="M77" t="n">
        <v>1</v>
      </c>
      <c r="N77" t="n">
        <v>1</v>
      </c>
      <c r="O77" t="n">
        <v>1</v>
      </c>
      <c r="P77" t="n">
        <v>0</v>
      </c>
    </row>
    <row r="78">
      <c r="F78" t="inlineStr">
        <is>
          <t>Cleric</t>
        </is>
      </c>
      <c r="G78" t="n">
        <v>17</v>
      </c>
      <c r="H78" t="n">
        <v>4</v>
      </c>
      <c r="I78" t="n">
        <v>3</v>
      </c>
      <c r="J78" t="n">
        <v>3</v>
      </c>
      <c r="K78" t="n">
        <v>3</v>
      </c>
      <c r="L78" t="n">
        <v>2</v>
      </c>
      <c r="M78" t="n">
        <v>1</v>
      </c>
      <c r="N78" t="n">
        <v>1</v>
      </c>
      <c r="O78" t="n">
        <v>1</v>
      </c>
      <c r="P78" t="n">
        <v>1</v>
      </c>
    </row>
    <row r="79">
      <c r="F79" t="inlineStr">
        <is>
          <t>Cleric</t>
        </is>
      </c>
      <c r="G79" t="n">
        <v>18</v>
      </c>
      <c r="H79" t="n">
        <v>4</v>
      </c>
      <c r="I79" t="n">
        <v>3</v>
      </c>
      <c r="J79" t="n">
        <v>3</v>
      </c>
      <c r="K79" t="n">
        <v>3</v>
      </c>
      <c r="L79" t="n">
        <v>3</v>
      </c>
      <c r="M79" t="n">
        <v>1</v>
      </c>
      <c r="N79" t="n">
        <v>1</v>
      </c>
      <c r="O79" t="n">
        <v>1</v>
      </c>
      <c r="P79" t="n">
        <v>1</v>
      </c>
    </row>
    <row r="80">
      <c r="F80" t="inlineStr">
        <is>
          <t>Cleric</t>
        </is>
      </c>
      <c r="G80" t="n">
        <v>19</v>
      </c>
      <c r="H80" t="n">
        <v>4</v>
      </c>
      <c r="I80" t="n">
        <v>3</v>
      </c>
      <c r="J80" t="n">
        <v>3</v>
      </c>
      <c r="K80" t="n">
        <v>3</v>
      </c>
      <c r="L80" t="n">
        <v>3</v>
      </c>
      <c r="M80" t="n">
        <v>2</v>
      </c>
      <c r="N80" t="n">
        <v>1</v>
      </c>
      <c r="O80" t="n">
        <v>1</v>
      </c>
      <c r="P80" t="n">
        <v>1</v>
      </c>
    </row>
    <row r="81">
      <c r="F81" t="inlineStr">
        <is>
          <t>Cleric</t>
        </is>
      </c>
      <c r="G81" t="n">
        <v>20</v>
      </c>
      <c r="H81" t="n">
        <v>4</v>
      </c>
      <c r="I81" t="n">
        <v>3</v>
      </c>
      <c r="J81" t="n">
        <v>3</v>
      </c>
      <c r="K81" t="n">
        <v>3</v>
      </c>
      <c r="L81" t="n">
        <v>3</v>
      </c>
      <c r="M81" t="n">
        <v>2</v>
      </c>
      <c r="N81" t="n">
        <v>2</v>
      </c>
      <c r="O81" t="n">
        <v>1</v>
      </c>
      <c r="P81" t="n">
        <v>1</v>
      </c>
    </row>
    <row r="82">
      <c r="F82" t="inlineStr">
        <is>
          <t>Druid</t>
        </is>
      </c>
      <c r="G82" t="n">
        <v>1</v>
      </c>
      <c r="H82" t="n">
        <v>2</v>
      </c>
      <c r="I82" t="n">
        <v>0</v>
      </c>
      <c r="J82" t="n">
        <v>0</v>
      </c>
      <c r="K82" t="n">
        <v>0</v>
      </c>
      <c r="L82" t="n">
        <v>0</v>
      </c>
      <c r="M82" t="n">
        <v>0</v>
      </c>
      <c r="N82" t="n">
        <v>0</v>
      </c>
      <c r="O82" t="n">
        <v>0</v>
      </c>
      <c r="P82" t="n">
        <v>0</v>
      </c>
    </row>
    <row r="83">
      <c r="F83" t="inlineStr">
        <is>
          <t>Druid</t>
        </is>
      </c>
      <c r="G83" t="n">
        <v>2</v>
      </c>
      <c r="H83" t="n">
        <v>3</v>
      </c>
      <c r="I83" t="n">
        <v>0</v>
      </c>
      <c r="J83" t="n">
        <v>0</v>
      </c>
      <c r="K83" t="n">
        <v>0</v>
      </c>
      <c r="L83" t="n">
        <v>0</v>
      </c>
      <c r="M83" t="n">
        <v>0</v>
      </c>
      <c r="N83" t="n">
        <v>0</v>
      </c>
      <c r="O83" t="n">
        <v>0</v>
      </c>
      <c r="P83" t="n">
        <v>0</v>
      </c>
    </row>
    <row r="84">
      <c r="F84" t="inlineStr">
        <is>
          <t>Druid</t>
        </is>
      </c>
      <c r="G84" t="n">
        <v>3</v>
      </c>
      <c r="H84" t="n">
        <v>4</v>
      </c>
      <c r="I84" t="n">
        <v>2</v>
      </c>
      <c r="J84" t="n">
        <v>0</v>
      </c>
      <c r="K84" t="n">
        <v>0</v>
      </c>
      <c r="L84" t="n">
        <v>0</v>
      </c>
      <c r="M84" t="n">
        <v>0</v>
      </c>
      <c r="N84" t="n">
        <v>0</v>
      </c>
      <c r="O84" t="n">
        <v>0</v>
      </c>
      <c r="P84" t="n">
        <v>0</v>
      </c>
    </row>
    <row r="85">
      <c r="F85" t="inlineStr">
        <is>
          <t>Druid</t>
        </is>
      </c>
      <c r="G85" t="n">
        <v>4</v>
      </c>
      <c r="H85" t="n">
        <v>4</v>
      </c>
      <c r="I85" t="n">
        <v>3</v>
      </c>
      <c r="J85" t="n">
        <v>0</v>
      </c>
      <c r="K85" t="n">
        <v>0</v>
      </c>
      <c r="L85" t="n">
        <v>0</v>
      </c>
      <c r="M85" t="n">
        <v>0</v>
      </c>
      <c r="N85" t="n">
        <v>0</v>
      </c>
      <c r="O85" t="n">
        <v>0</v>
      </c>
      <c r="P85" t="n">
        <v>0</v>
      </c>
    </row>
    <row r="86">
      <c r="F86" t="inlineStr">
        <is>
          <t>Druid</t>
        </is>
      </c>
      <c r="G86" t="n">
        <v>5</v>
      </c>
      <c r="H86" t="n">
        <v>4</v>
      </c>
      <c r="I86" t="n">
        <v>3</v>
      </c>
      <c r="J86" t="n">
        <v>2</v>
      </c>
      <c r="K86" t="n">
        <v>0</v>
      </c>
      <c r="L86" t="n">
        <v>0</v>
      </c>
      <c r="M86" t="n">
        <v>0</v>
      </c>
      <c r="N86" t="n">
        <v>0</v>
      </c>
      <c r="O86" t="n">
        <v>0</v>
      </c>
      <c r="P86" t="n">
        <v>0</v>
      </c>
    </row>
    <row r="87">
      <c r="F87" t="inlineStr">
        <is>
          <t>Druid</t>
        </is>
      </c>
      <c r="G87" t="n">
        <v>6</v>
      </c>
      <c r="H87" t="n">
        <v>4</v>
      </c>
      <c r="I87" t="n">
        <v>3</v>
      </c>
      <c r="J87" t="n">
        <v>3</v>
      </c>
      <c r="K87" t="n">
        <v>0</v>
      </c>
      <c r="L87" t="n">
        <v>0</v>
      </c>
      <c r="M87" t="n">
        <v>0</v>
      </c>
      <c r="N87" t="n">
        <v>0</v>
      </c>
      <c r="O87" t="n">
        <v>0</v>
      </c>
      <c r="P87" t="n">
        <v>0</v>
      </c>
    </row>
    <row r="88">
      <c r="F88" t="inlineStr">
        <is>
          <t>Druid</t>
        </is>
      </c>
      <c r="G88" t="n">
        <v>7</v>
      </c>
      <c r="H88" t="n">
        <v>4</v>
      </c>
      <c r="I88" t="n">
        <v>3</v>
      </c>
      <c r="J88" t="n">
        <v>3</v>
      </c>
      <c r="K88" t="n">
        <v>1</v>
      </c>
      <c r="L88" t="n">
        <v>0</v>
      </c>
      <c r="M88" t="n">
        <v>0</v>
      </c>
      <c r="N88" t="n">
        <v>0</v>
      </c>
      <c r="O88" t="n">
        <v>0</v>
      </c>
      <c r="P88" t="n">
        <v>0</v>
      </c>
    </row>
    <row r="89">
      <c r="F89" t="inlineStr">
        <is>
          <t>Druid</t>
        </is>
      </c>
      <c r="G89" t="n">
        <v>8</v>
      </c>
      <c r="H89" t="n">
        <v>4</v>
      </c>
      <c r="I89" t="n">
        <v>3</v>
      </c>
      <c r="J89" t="n">
        <v>3</v>
      </c>
      <c r="K89" t="n">
        <v>2</v>
      </c>
      <c r="L89" t="n">
        <v>0</v>
      </c>
      <c r="M89" t="n">
        <v>0</v>
      </c>
      <c r="N89" t="n">
        <v>0</v>
      </c>
      <c r="O89" t="n">
        <v>0</v>
      </c>
      <c r="P89" t="n">
        <v>0</v>
      </c>
    </row>
    <row r="90">
      <c r="F90" t="inlineStr">
        <is>
          <t>Druid</t>
        </is>
      </c>
      <c r="G90" t="n">
        <v>9</v>
      </c>
      <c r="H90" t="n">
        <v>4</v>
      </c>
      <c r="I90" t="n">
        <v>3</v>
      </c>
      <c r="J90" t="n">
        <v>3</v>
      </c>
      <c r="K90" t="n">
        <v>3</v>
      </c>
      <c r="L90" t="n">
        <v>1</v>
      </c>
      <c r="M90" t="n">
        <v>0</v>
      </c>
      <c r="N90" t="n">
        <v>0</v>
      </c>
      <c r="O90" t="n">
        <v>0</v>
      </c>
      <c r="P90" t="n">
        <v>0</v>
      </c>
    </row>
    <row r="91">
      <c r="F91" t="inlineStr">
        <is>
          <t>Druid</t>
        </is>
      </c>
      <c r="G91" t="n">
        <v>10</v>
      </c>
      <c r="H91" t="n">
        <v>4</v>
      </c>
      <c r="I91" t="n">
        <v>3</v>
      </c>
      <c r="J91" t="n">
        <v>3</v>
      </c>
      <c r="K91" t="n">
        <v>3</v>
      </c>
      <c r="L91" t="n">
        <v>2</v>
      </c>
      <c r="M91" t="n">
        <v>0</v>
      </c>
      <c r="N91" t="n">
        <v>0</v>
      </c>
      <c r="O91" t="n">
        <v>0</v>
      </c>
      <c r="P91" t="n">
        <v>0</v>
      </c>
    </row>
    <row r="92">
      <c r="F92" t="inlineStr">
        <is>
          <t>Druid</t>
        </is>
      </c>
      <c r="G92" t="n">
        <v>11</v>
      </c>
      <c r="H92" t="n">
        <v>4</v>
      </c>
      <c r="I92" t="n">
        <v>3</v>
      </c>
      <c r="J92" t="n">
        <v>3</v>
      </c>
      <c r="K92" t="n">
        <v>3</v>
      </c>
      <c r="L92" t="n">
        <v>2</v>
      </c>
      <c r="M92" t="n">
        <v>1</v>
      </c>
      <c r="N92" t="n">
        <v>0</v>
      </c>
      <c r="O92" t="n">
        <v>0</v>
      </c>
      <c r="P92" t="n">
        <v>0</v>
      </c>
    </row>
    <row r="93">
      <c r="F93" t="inlineStr">
        <is>
          <t>Druid</t>
        </is>
      </c>
      <c r="G93" t="n">
        <v>12</v>
      </c>
      <c r="H93" t="n">
        <v>4</v>
      </c>
      <c r="I93" t="n">
        <v>3</v>
      </c>
      <c r="J93" t="n">
        <v>3</v>
      </c>
      <c r="K93" t="n">
        <v>3</v>
      </c>
      <c r="L93" t="n">
        <v>2</v>
      </c>
      <c r="M93" t="n">
        <v>1</v>
      </c>
      <c r="N93" t="n">
        <v>0</v>
      </c>
      <c r="O93" t="n">
        <v>0</v>
      </c>
      <c r="P93" t="n">
        <v>0</v>
      </c>
    </row>
    <row r="94">
      <c r="F94" t="inlineStr">
        <is>
          <t>Druid</t>
        </is>
      </c>
      <c r="G94" t="n">
        <v>13</v>
      </c>
      <c r="H94" t="n">
        <v>4</v>
      </c>
      <c r="I94" t="n">
        <v>3</v>
      </c>
      <c r="J94" t="n">
        <v>3</v>
      </c>
      <c r="K94" t="n">
        <v>3</v>
      </c>
      <c r="L94" t="n">
        <v>2</v>
      </c>
      <c r="M94" t="n">
        <v>1</v>
      </c>
      <c r="N94" t="n">
        <v>1</v>
      </c>
      <c r="O94" t="n">
        <v>0</v>
      </c>
      <c r="P94" t="n">
        <v>0</v>
      </c>
    </row>
    <row r="95">
      <c r="F95" t="inlineStr">
        <is>
          <t>Druid</t>
        </is>
      </c>
      <c r="G95" t="n">
        <v>14</v>
      </c>
      <c r="H95" t="n">
        <v>4</v>
      </c>
      <c r="I95" t="n">
        <v>3</v>
      </c>
      <c r="J95" t="n">
        <v>3</v>
      </c>
      <c r="K95" t="n">
        <v>3</v>
      </c>
      <c r="L95" t="n">
        <v>2</v>
      </c>
      <c r="M95" t="n">
        <v>1</v>
      </c>
      <c r="N95" t="n">
        <v>1</v>
      </c>
      <c r="O95" t="n">
        <v>0</v>
      </c>
      <c r="P95" t="n">
        <v>0</v>
      </c>
    </row>
    <row r="96">
      <c r="F96" t="inlineStr">
        <is>
          <t>Druid</t>
        </is>
      </c>
      <c r="G96" t="n">
        <v>15</v>
      </c>
      <c r="H96" t="n">
        <v>4</v>
      </c>
      <c r="I96" t="n">
        <v>3</v>
      </c>
      <c r="J96" t="n">
        <v>3</v>
      </c>
      <c r="K96" t="n">
        <v>3</v>
      </c>
      <c r="L96" t="n">
        <v>2</v>
      </c>
      <c r="M96" t="n">
        <v>1</v>
      </c>
      <c r="N96" t="n">
        <v>1</v>
      </c>
      <c r="O96" t="n">
        <v>1</v>
      </c>
      <c r="P96" t="n">
        <v>0</v>
      </c>
    </row>
    <row r="97">
      <c r="F97" t="inlineStr">
        <is>
          <t>Druid</t>
        </is>
      </c>
      <c r="G97" t="n">
        <v>16</v>
      </c>
      <c r="H97" t="n">
        <v>4</v>
      </c>
      <c r="I97" t="n">
        <v>3</v>
      </c>
      <c r="J97" t="n">
        <v>3</v>
      </c>
      <c r="K97" t="n">
        <v>3</v>
      </c>
      <c r="L97" t="n">
        <v>2</v>
      </c>
      <c r="M97" t="n">
        <v>1</v>
      </c>
      <c r="N97" t="n">
        <v>1</v>
      </c>
      <c r="O97" t="n">
        <v>1</v>
      </c>
      <c r="P97" t="n">
        <v>0</v>
      </c>
    </row>
    <row r="98">
      <c r="F98" t="inlineStr">
        <is>
          <t>Druid</t>
        </is>
      </c>
      <c r="G98" t="n">
        <v>17</v>
      </c>
      <c r="H98" t="n">
        <v>4</v>
      </c>
      <c r="I98" t="n">
        <v>3</v>
      </c>
      <c r="J98" t="n">
        <v>3</v>
      </c>
      <c r="K98" t="n">
        <v>3</v>
      </c>
      <c r="L98" t="n">
        <v>2</v>
      </c>
      <c r="M98" t="n">
        <v>1</v>
      </c>
      <c r="N98" t="n">
        <v>1</v>
      </c>
      <c r="O98" t="n">
        <v>1</v>
      </c>
      <c r="P98" t="n">
        <v>1</v>
      </c>
    </row>
    <row r="99">
      <c r="F99" t="inlineStr">
        <is>
          <t>Druid</t>
        </is>
      </c>
      <c r="G99" t="n">
        <v>18</v>
      </c>
      <c r="H99" t="n">
        <v>4</v>
      </c>
      <c r="I99" t="n">
        <v>3</v>
      </c>
      <c r="J99" t="n">
        <v>3</v>
      </c>
      <c r="K99" t="n">
        <v>3</v>
      </c>
      <c r="L99" t="n">
        <v>3</v>
      </c>
      <c r="M99" t="n">
        <v>1</v>
      </c>
      <c r="N99" t="n">
        <v>1</v>
      </c>
      <c r="O99" t="n">
        <v>1</v>
      </c>
      <c r="P99" t="n">
        <v>1</v>
      </c>
    </row>
    <row r="100">
      <c r="F100" t="inlineStr">
        <is>
          <t>Druid</t>
        </is>
      </c>
      <c r="G100" t="n">
        <v>19</v>
      </c>
      <c r="H100" t="n">
        <v>4</v>
      </c>
      <c r="I100" t="n">
        <v>3</v>
      </c>
      <c r="J100" t="n">
        <v>3</v>
      </c>
      <c r="K100" t="n">
        <v>3</v>
      </c>
      <c r="L100" t="n">
        <v>3</v>
      </c>
      <c r="M100" t="n">
        <v>2</v>
      </c>
      <c r="N100" t="n">
        <v>1</v>
      </c>
      <c r="O100" t="n">
        <v>1</v>
      </c>
      <c r="P100" t="n">
        <v>1</v>
      </c>
    </row>
    <row r="101">
      <c r="F101" t="inlineStr">
        <is>
          <t>Druid</t>
        </is>
      </c>
      <c r="G101" t="n">
        <v>20</v>
      </c>
      <c r="H101" t="n">
        <v>4</v>
      </c>
      <c r="I101" t="n">
        <v>3</v>
      </c>
      <c r="J101" t="n">
        <v>3</v>
      </c>
      <c r="K101" t="n">
        <v>3</v>
      </c>
      <c r="L101" t="n">
        <v>3</v>
      </c>
      <c r="M101" t="n">
        <v>2</v>
      </c>
      <c r="N101" t="n">
        <v>2</v>
      </c>
      <c r="O101" t="n">
        <v>1</v>
      </c>
      <c r="P101" t="n">
        <v>1</v>
      </c>
    </row>
    <row r="102">
      <c r="F102" t="inlineStr">
        <is>
          <t>Fighter</t>
        </is>
      </c>
      <c r="G102" t="n">
        <v>1</v>
      </c>
      <c r="H102" t="n">
        <v>0</v>
      </c>
      <c r="I102" t="n">
        <v>0</v>
      </c>
      <c r="J102" t="n">
        <v>0</v>
      </c>
      <c r="K102" t="n">
        <v>0</v>
      </c>
      <c r="L102" t="n">
        <v>0</v>
      </c>
      <c r="M102" t="n">
        <v>0</v>
      </c>
      <c r="N102" t="n">
        <v>0</v>
      </c>
      <c r="O102" t="n">
        <v>0</v>
      </c>
      <c r="P102" t="n">
        <v>0</v>
      </c>
    </row>
    <row r="103">
      <c r="F103" t="inlineStr">
        <is>
          <t>Fighter</t>
        </is>
      </c>
      <c r="G103" t="n">
        <v>2</v>
      </c>
      <c r="H103" t="n">
        <v>0</v>
      </c>
      <c r="I103" t="n">
        <v>0</v>
      </c>
      <c r="J103" t="n">
        <v>0</v>
      </c>
      <c r="K103" t="n">
        <v>0</v>
      </c>
      <c r="L103" t="n">
        <v>0</v>
      </c>
      <c r="M103" t="n">
        <v>0</v>
      </c>
      <c r="N103" t="n">
        <v>0</v>
      </c>
      <c r="O103" t="n">
        <v>0</v>
      </c>
      <c r="P103" t="n">
        <v>0</v>
      </c>
    </row>
    <row r="104">
      <c r="F104" t="inlineStr">
        <is>
          <t>Fighter</t>
        </is>
      </c>
      <c r="G104" t="n">
        <v>3</v>
      </c>
      <c r="H104" t="n">
        <v>0</v>
      </c>
      <c r="I104" t="n">
        <v>0</v>
      </c>
      <c r="J104" t="n">
        <v>0</v>
      </c>
      <c r="K104" t="n">
        <v>0</v>
      </c>
      <c r="L104" t="n">
        <v>0</v>
      </c>
      <c r="M104" t="n">
        <v>0</v>
      </c>
      <c r="N104" t="n">
        <v>0</v>
      </c>
      <c r="O104" t="n">
        <v>0</v>
      </c>
      <c r="P104" t="n">
        <v>0</v>
      </c>
    </row>
    <row r="105">
      <c r="F105" t="inlineStr">
        <is>
          <t>Fighter</t>
        </is>
      </c>
      <c r="G105" t="n">
        <v>4</v>
      </c>
      <c r="H105" t="n">
        <v>0</v>
      </c>
      <c r="I105" t="n">
        <v>0</v>
      </c>
      <c r="J105" t="n">
        <v>0</v>
      </c>
      <c r="K105" t="n">
        <v>0</v>
      </c>
      <c r="L105" t="n">
        <v>0</v>
      </c>
      <c r="M105" t="n">
        <v>0</v>
      </c>
      <c r="N105" t="n">
        <v>0</v>
      </c>
      <c r="O105" t="n">
        <v>0</v>
      </c>
      <c r="P105" t="n">
        <v>0</v>
      </c>
    </row>
    <row r="106">
      <c r="F106" t="inlineStr">
        <is>
          <t>Fighter</t>
        </is>
      </c>
      <c r="G106" t="n">
        <v>5</v>
      </c>
      <c r="H106" t="n">
        <v>0</v>
      </c>
      <c r="I106" t="n">
        <v>0</v>
      </c>
      <c r="J106" t="n">
        <v>0</v>
      </c>
      <c r="K106" t="n">
        <v>0</v>
      </c>
      <c r="L106" t="n">
        <v>0</v>
      </c>
      <c r="M106" t="n">
        <v>0</v>
      </c>
      <c r="N106" t="n">
        <v>0</v>
      </c>
      <c r="O106" t="n">
        <v>0</v>
      </c>
      <c r="P106" t="n">
        <v>0</v>
      </c>
    </row>
    <row r="107">
      <c r="F107" t="inlineStr">
        <is>
          <t>Fighter</t>
        </is>
      </c>
      <c r="G107" t="n">
        <v>6</v>
      </c>
      <c r="H107" t="n">
        <v>0</v>
      </c>
      <c r="I107" t="n">
        <v>0</v>
      </c>
      <c r="J107" t="n">
        <v>0</v>
      </c>
      <c r="K107" t="n">
        <v>0</v>
      </c>
      <c r="L107" t="n">
        <v>0</v>
      </c>
      <c r="M107" t="n">
        <v>0</v>
      </c>
      <c r="N107" t="n">
        <v>0</v>
      </c>
      <c r="O107" t="n">
        <v>0</v>
      </c>
      <c r="P107" t="n">
        <v>0</v>
      </c>
    </row>
    <row r="108">
      <c r="F108" t="inlineStr">
        <is>
          <t>Fighter</t>
        </is>
      </c>
      <c r="G108" t="n">
        <v>7</v>
      </c>
      <c r="H108" t="n">
        <v>0</v>
      </c>
      <c r="I108" t="n">
        <v>0</v>
      </c>
      <c r="J108" t="n">
        <v>0</v>
      </c>
      <c r="K108" t="n">
        <v>0</v>
      </c>
      <c r="L108" t="n">
        <v>0</v>
      </c>
      <c r="M108" t="n">
        <v>0</v>
      </c>
      <c r="N108" t="n">
        <v>0</v>
      </c>
      <c r="O108" t="n">
        <v>0</v>
      </c>
      <c r="P108" t="n">
        <v>0</v>
      </c>
    </row>
    <row r="109">
      <c r="F109" t="inlineStr">
        <is>
          <t>Fighter</t>
        </is>
      </c>
      <c r="G109" t="n">
        <v>8</v>
      </c>
      <c r="H109" t="n">
        <v>0</v>
      </c>
      <c r="I109" t="n">
        <v>0</v>
      </c>
      <c r="J109" t="n">
        <v>0</v>
      </c>
      <c r="K109" t="n">
        <v>0</v>
      </c>
      <c r="L109" t="n">
        <v>0</v>
      </c>
      <c r="M109" t="n">
        <v>0</v>
      </c>
      <c r="N109" t="n">
        <v>0</v>
      </c>
      <c r="O109" t="n">
        <v>0</v>
      </c>
      <c r="P109" t="n">
        <v>0</v>
      </c>
    </row>
    <row r="110">
      <c r="F110" t="inlineStr">
        <is>
          <t>Fighter</t>
        </is>
      </c>
      <c r="G110" t="n">
        <v>9</v>
      </c>
      <c r="H110" t="n">
        <v>0</v>
      </c>
      <c r="I110" t="n">
        <v>0</v>
      </c>
      <c r="J110" t="n">
        <v>0</v>
      </c>
      <c r="K110" t="n">
        <v>0</v>
      </c>
      <c r="L110" t="n">
        <v>0</v>
      </c>
      <c r="M110" t="n">
        <v>0</v>
      </c>
      <c r="N110" t="n">
        <v>0</v>
      </c>
      <c r="O110" t="n">
        <v>0</v>
      </c>
      <c r="P110" t="n">
        <v>0</v>
      </c>
    </row>
    <row r="111">
      <c r="F111" t="inlineStr">
        <is>
          <t>Fighter</t>
        </is>
      </c>
      <c r="G111" t="n">
        <v>10</v>
      </c>
      <c r="H111" t="n">
        <v>0</v>
      </c>
      <c r="I111" t="n">
        <v>0</v>
      </c>
      <c r="J111" t="n">
        <v>0</v>
      </c>
      <c r="K111" t="n">
        <v>0</v>
      </c>
      <c r="L111" t="n">
        <v>0</v>
      </c>
      <c r="M111" t="n">
        <v>0</v>
      </c>
      <c r="N111" t="n">
        <v>0</v>
      </c>
      <c r="O111" t="n">
        <v>0</v>
      </c>
      <c r="P111" t="n">
        <v>0</v>
      </c>
    </row>
    <row r="112">
      <c r="F112" t="inlineStr">
        <is>
          <t>Fighter</t>
        </is>
      </c>
      <c r="G112" t="n">
        <v>11</v>
      </c>
      <c r="H112" t="n">
        <v>0</v>
      </c>
      <c r="I112" t="n">
        <v>0</v>
      </c>
      <c r="J112" t="n">
        <v>0</v>
      </c>
      <c r="K112" t="n">
        <v>0</v>
      </c>
      <c r="L112" t="n">
        <v>0</v>
      </c>
      <c r="M112" t="n">
        <v>0</v>
      </c>
      <c r="N112" t="n">
        <v>0</v>
      </c>
      <c r="O112" t="n">
        <v>0</v>
      </c>
      <c r="P112" t="n">
        <v>0</v>
      </c>
    </row>
    <row r="113">
      <c r="F113" t="inlineStr">
        <is>
          <t>Fighter</t>
        </is>
      </c>
      <c r="G113" t="n">
        <v>12</v>
      </c>
      <c r="H113" t="n">
        <v>0</v>
      </c>
      <c r="I113" t="n">
        <v>0</v>
      </c>
      <c r="J113" t="n">
        <v>0</v>
      </c>
      <c r="K113" t="n">
        <v>0</v>
      </c>
      <c r="L113" t="n">
        <v>0</v>
      </c>
      <c r="M113" t="n">
        <v>0</v>
      </c>
      <c r="N113" t="n">
        <v>0</v>
      </c>
      <c r="O113" t="n">
        <v>0</v>
      </c>
      <c r="P113" t="n">
        <v>0</v>
      </c>
    </row>
    <row r="114">
      <c r="F114" t="inlineStr">
        <is>
          <t>Fighter</t>
        </is>
      </c>
      <c r="G114" t="n">
        <v>13</v>
      </c>
      <c r="H114" t="n">
        <v>0</v>
      </c>
      <c r="I114" t="n">
        <v>0</v>
      </c>
      <c r="J114" t="n">
        <v>0</v>
      </c>
      <c r="K114" t="n">
        <v>0</v>
      </c>
      <c r="L114" t="n">
        <v>0</v>
      </c>
      <c r="M114" t="n">
        <v>0</v>
      </c>
      <c r="N114" t="n">
        <v>0</v>
      </c>
      <c r="O114" t="n">
        <v>0</v>
      </c>
      <c r="P114" t="n">
        <v>0</v>
      </c>
    </row>
    <row r="115">
      <c r="F115" t="inlineStr">
        <is>
          <t>Fighter</t>
        </is>
      </c>
      <c r="G115" t="n">
        <v>14</v>
      </c>
      <c r="H115" t="n">
        <v>0</v>
      </c>
      <c r="I115" t="n">
        <v>0</v>
      </c>
      <c r="J115" t="n">
        <v>0</v>
      </c>
      <c r="K115" t="n">
        <v>0</v>
      </c>
      <c r="L115" t="n">
        <v>0</v>
      </c>
      <c r="M115" t="n">
        <v>0</v>
      </c>
      <c r="N115" t="n">
        <v>0</v>
      </c>
      <c r="O115" t="n">
        <v>0</v>
      </c>
      <c r="P115" t="n">
        <v>0</v>
      </c>
    </row>
    <row r="116">
      <c r="F116" t="inlineStr">
        <is>
          <t>Fighter</t>
        </is>
      </c>
      <c r="G116" t="n">
        <v>15</v>
      </c>
      <c r="H116" t="n">
        <v>0</v>
      </c>
      <c r="I116" t="n">
        <v>0</v>
      </c>
      <c r="J116" t="n">
        <v>0</v>
      </c>
      <c r="K116" t="n">
        <v>0</v>
      </c>
      <c r="L116" t="n">
        <v>0</v>
      </c>
      <c r="M116" t="n">
        <v>0</v>
      </c>
      <c r="N116" t="n">
        <v>0</v>
      </c>
      <c r="O116" t="n">
        <v>0</v>
      </c>
      <c r="P116" t="n">
        <v>0</v>
      </c>
    </row>
    <row r="117">
      <c r="F117" t="inlineStr">
        <is>
          <t>Fighter</t>
        </is>
      </c>
      <c r="G117" t="n">
        <v>16</v>
      </c>
      <c r="H117" t="n">
        <v>0</v>
      </c>
      <c r="I117" t="n">
        <v>0</v>
      </c>
      <c r="J117" t="n">
        <v>0</v>
      </c>
      <c r="K117" t="n">
        <v>0</v>
      </c>
      <c r="L117" t="n">
        <v>0</v>
      </c>
      <c r="M117" t="n">
        <v>0</v>
      </c>
      <c r="N117" t="n">
        <v>0</v>
      </c>
      <c r="O117" t="n">
        <v>0</v>
      </c>
      <c r="P117" t="n">
        <v>0</v>
      </c>
    </row>
    <row r="118">
      <c r="F118" t="inlineStr">
        <is>
          <t>Fighter</t>
        </is>
      </c>
      <c r="G118" t="n">
        <v>17</v>
      </c>
      <c r="H118" t="n">
        <v>0</v>
      </c>
      <c r="I118" t="n">
        <v>0</v>
      </c>
      <c r="J118" t="n">
        <v>0</v>
      </c>
      <c r="K118" t="n">
        <v>0</v>
      </c>
      <c r="L118" t="n">
        <v>0</v>
      </c>
      <c r="M118" t="n">
        <v>0</v>
      </c>
      <c r="N118" t="n">
        <v>0</v>
      </c>
      <c r="O118" t="n">
        <v>0</v>
      </c>
      <c r="P118" t="n">
        <v>0</v>
      </c>
    </row>
    <row r="119">
      <c r="F119" t="inlineStr">
        <is>
          <t>Fighter</t>
        </is>
      </c>
      <c r="G119" t="n">
        <v>18</v>
      </c>
      <c r="H119" t="n">
        <v>0</v>
      </c>
      <c r="I119" t="n">
        <v>0</v>
      </c>
      <c r="J119" t="n">
        <v>0</v>
      </c>
      <c r="K119" t="n">
        <v>0</v>
      </c>
      <c r="L119" t="n">
        <v>0</v>
      </c>
      <c r="M119" t="n">
        <v>0</v>
      </c>
      <c r="N119" t="n">
        <v>0</v>
      </c>
      <c r="O119" t="n">
        <v>0</v>
      </c>
      <c r="P119" t="n">
        <v>0</v>
      </c>
    </row>
    <row r="120">
      <c r="F120" t="inlineStr">
        <is>
          <t>Fighter</t>
        </is>
      </c>
      <c r="G120" t="n">
        <v>19</v>
      </c>
      <c r="H120" t="n">
        <v>0</v>
      </c>
      <c r="I120" t="n">
        <v>0</v>
      </c>
      <c r="J120" t="n">
        <v>0</v>
      </c>
      <c r="K120" t="n">
        <v>0</v>
      </c>
      <c r="L120" t="n">
        <v>0</v>
      </c>
      <c r="M120" t="n">
        <v>0</v>
      </c>
      <c r="N120" t="n">
        <v>0</v>
      </c>
      <c r="O120" t="n">
        <v>0</v>
      </c>
      <c r="P120" t="n">
        <v>0</v>
      </c>
    </row>
    <row r="121">
      <c r="F121" t="inlineStr">
        <is>
          <t>Fighter</t>
        </is>
      </c>
      <c r="G121" t="n">
        <v>20</v>
      </c>
      <c r="H121" t="n">
        <v>0</v>
      </c>
      <c r="I121" t="n">
        <v>0</v>
      </c>
      <c r="J121" t="n">
        <v>0</v>
      </c>
      <c r="K121" t="n">
        <v>0</v>
      </c>
      <c r="L121" t="n">
        <v>0</v>
      </c>
      <c r="M121" t="n">
        <v>0</v>
      </c>
      <c r="N121" t="n">
        <v>0</v>
      </c>
      <c r="O121" t="n">
        <v>0</v>
      </c>
      <c r="P121" t="n">
        <v>0</v>
      </c>
    </row>
    <row r="122">
      <c r="F122" t="inlineStr">
        <is>
          <t>Monk</t>
        </is>
      </c>
      <c r="G122" t="n">
        <v>1</v>
      </c>
      <c r="H122" t="n">
        <v>0</v>
      </c>
      <c r="I122" t="n">
        <v>0</v>
      </c>
      <c r="J122" t="n">
        <v>0</v>
      </c>
      <c r="K122" t="n">
        <v>0</v>
      </c>
      <c r="L122" t="n">
        <v>0</v>
      </c>
      <c r="M122" t="n">
        <v>0</v>
      </c>
      <c r="N122" t="n">
        <v>0</v>
      </c>
      <c r="O122" t="n">
        <v>0</v>
      </c>
      <c r="P122" t="n">
        <v>0</v>
      </c>
    </row>
    <row r="123">
      <c r="F123" t="inlineStr">
        <is>
          <t>Monk</t>
        </is>
      </c>
      <c r="G123" t="n">
        <v>2</v>
      </c>
      <c r="H123" t="n">
        <v>0</v>
      </c>
      <c r="I123" t="n">
        <v>0</v>
      </c>
      <c r="J123" t="n">
        <v>0</v>
      </c>
      <c r="K123" t="n">
        <v>0</v>
      </c>
      <c r="L123" t="n">
        <v>0</v>
      </c>
      <c r="M123" t="n">
        <v>0</v>
      </c>
      <c r="N123" t="n">
        <v>0</v>
      </c>
      <c r="O123" t="n">
        <v>0</v>
      </c>
      <c r="P123" t="n">
        <v>0</v>
      </c>
    </row>
    <row r="124">
      <c r="F124" t="inlineStr">
        <is>
          <t>Monk</t>
        </is>
      </c>
      <c r="G124" t="n">
        <v>3</v>
      </c>
      <c r="H124" t="n">
        <v>0</v>
      </c>
      <c r="I124" t="n">
        <v>0</v>
      </c>
      <c r="J124" t="n">
        <v>0</v>
      </c>
      <c r="K124" t="n">
        <v>0</v>
      </c>
      <c r="L124" t="n">
        <v>0</v>
      </c>
      <c r="M124" t="n">
        <v>0</v>
      </c>
      <c r="N124" t="n">
        <v>0</v>
      </c>
      <c r="O124" t="n">
        <v>0</v>
      </c>
      <c r="P124" t="n">
        <v>0</v>
      </c>
    </row>
    <row r="125">
      <c r="F125" t="inlineStr">
        <is>
          <t>Monk</t>
        </is>
      </c>
      <c r="G125" t="n">
        <v>4</v>
      </c>
      <c r="H125" t="n">
        <v>0</v>
      </c>
      <c r="I125" t="n">
        <v>0</v>
      </c>
      <c r="J125" t="n">
        <v>0</v>
      </c>
      <c r="K125" t="n">
        <v>0</v>
      </c>
      <c r="L125" t="n">
        <v>0</v>
      </c>
      <c r="M125" t="n">
        <v>0</v>
      </c>
      <c r="N125" t="n">
        <v>0</v>
      </c>
      <c r="O125" t="n">
        <v>0</v>
      </c>
      <c r="P125" t="n">
        <v>0</v>
      </c>
    </row>
    <row r="126">
      <c r="F126" t="inlineStr">
        <is>
          <t>Monk</t>
        </is>
      </c>
      <c r="G126" t="n">
        <v>5</v>
      </c>
      <c r="H126" t="n">
        <v>0</v>
      </c>
      <c r="I126" t="n">
        <v>0</v>
      </c>
      <c r="J126" t="n">
        <v>0</v>
      </c>
      <c r="K126" t="n">
        <v>0</v>
      </c>
      <c r="L126" t="n">
        <v>0</v>
      </c>
      <c r="M126" t="n">
        <v>0</v>
      </c>
      <c r="N126" t="n">
        <v>0</v>
      </c>
      <c r="O126" t="n">
        <v>0</v>
      </c>
      <c r="P126" t="n">
        <v>0</v>
      </c>
    </row>
    <row r="127">
      <c r="F127" t="inlineStr">
        <is>
          <t>Monk</t>
        </is>
      </c>
      <c r="G127" t="n">
        <v>6</v>
      </c>
      <c r="H127" t="n">
        <v>0</v>
      </c>
      <c r="I127" t="n">
        <v>0</v>
      </c>
      <c r="J127" t="n">
        <v>0</v>
      </c>
      <c r="K127" t="n">
        <v>0</v>
      </c>
      <c r="L127" t="n">
        <v>0</v>
      </c>
      <c r="M127" t="n">
        <v>0</v>
      </c>
      <c r="N127" t="n">
        <v>0</v>
      </c>
      <c r="O127" t="n">
        <v>0</v>
      </c>
      <c r="P127" t="n">
        <v>0</v>
      </c>
    </row>
    <row r="128">
      <c r="F128" t="inlineStr">
        <is>
          <t>Monk</t>
        </is>
      </c>
      <c r="G128" t="n">
        <v>7</v>
      </c>
      <c r="H128" t="n">
        <v>0</v>
      </c>
      <c r="I128" t="n">
        <v>0</v>
      </c>
      <c r="J128" t="n">
        <v>0</v>
      </c>
      <c r="K128" t="n">
        <v>0</v>
      </c>
      <c r="L128" t="n">
        <v>0</v>
      </c>
      <c r="M128" t="n">
        <v>0</v>
      </c>
      <c r="N128" t="n">
        <v>0</v>
      </c>
      <c r="O128" t="n">
        <v>0</v>
      </c>
      <c r="P128" t="n">
        <v>0</v>
      </c>
    </row>
    <row r="129">
      <c r="F129" t="inlineStr">
        <is>
          <t>Monk</t>
        </is>
      </c>
      <c r="G129" t="n">
        <v>8</v>
      </c>
      <c r="H129" t="n">
        <v>0</v>
      </c>
      <c r="I129" t="n">
        <v>0</v>
      </c>
      <c r="J129" t="n">
        <v>0</v>
      </c>
      <c r="K129" t="n">
        <v>0</v>
      </c>
      <c r="L129" t="n">
        <v>0</v>
      </c>
      <c r="M129" t="n">
        <v>0</v>
      </c>
      <c r="N129" t="n">
        <v>0</v>
      </c>
      <c r="O129" t="n">
        <v>0</v>
      </c>
      <c r="P129" t="n">
        <v>0</v>
      </c>
    </row>
    <row r="130">
      <c r="F130" t="inlineStr">
        <is>
          <t>Monk</t>
        </is>
      </c>
      <c r="G130" t="n">
        <v>9</v>
      </c>
      <c r="H130" t="n">
        <v>0</v>
      </c>
      <c r="I130" t="n">
        <v>0</v>
      </c>
      <c r="J130" t="n">
        <v>0</v>
      </c>
      <c r="K130" t="n">
        <v>0</v>
      </c>
      <c r="L130" t="n">
        <v>0</v>
      </c>
      <c r="M130" t="n">
        <v>0</v>
      </c>
      <c r="N130" t="n">
        <v>0</v>
      </c>
      <c r="O130" t="n">
        <v>0</v>
      </c>
      <c r="P130" t="n">
        <v>0</v>
      </c>
    </row>
    <row r="131">
      <c r="F131" t="inlineStr">
        <is>
          <t>Monk</t>
        </is>
      </c>
      <c r="G131" t="n">
        <v>10</v>
      </c>
      <c r="H131" t="n">
        <v>0</v>
      </c>
      <c r="I131" t="n">
        <v>0</v>
      </c>
      <c r="J131" t="n">
        <v>0</v>
      </c>
      <c r="K131" t="n">
        <v>0</v>
      </c>
      <c r="L131" t="n">
        <v>0</v>
      </c>
      <c r="M131" t="n">
        <v>0</v>
      </c>
      <c r="N131" t="n">
        <v>0</v>
      </c>
      <c r="O131" t="n">
        <v>0</v>
      </c>
      <c r="P131" t="n">
        <v>0</v>
      </c>
    </row>
    <row r="132">
      <c r="F132" t="inlineStr">
        <is>
          <t>Monk</t>
        </is>
      </c>
      <c r="G132" t="n">
        <v>11</v>
      </c>
      <c r="H132" t="n">
        <v>0</v>
      </c>
      <c r="I132" t="n">
        <v>0</v>
      </c>
      <c r="J132" t="n">
        <v>0</v>
      </c>
      <c r="K132" t="n">
        <v>0</v>
      </c>
      <c r="L132" t="n">
        <v>0</v>
      </c>
      <c r="M132" t="n">
        <v>0</v>
      </c>
      <c r="N132" t="n">
        <v>0</v>
      </c>
      <c r="O132" t="n">
        <v>0</v>
      </c>
      <c r="P132" t="n">
        <v>0</v>
      </c>
    </row>
    <row r="133">
      <c r="F133" t="inlineStr">
        <is>
          <t>Monk</t>
        </is>
      </c>
      <c r="G133" t="n">
        <v>12</v>
      </c>
      <c r="H133" t="n">
        <v>0</v>
      </c>
      <c r="I133" t="n">
        <v>0</v>
      </c>
      <c r="J133" t="n">
        <v>0</v>
      </c>
      <c r="K133" t="n">
        <v>0</v>
      </c>
      <c r="L133" t="n">
        <v>0</v>
      </c>
      <c r="M133" t="n">
        <v>0</v>
      </c>
      <c r="N133" t="n">
        <v>0</v>
      </c>
      <c r="O133" t="n">
        <v>0</v>
      </c>
      <c r="P133" t="n">
        <v>0</v>
      </c>
    </row>
    <row r="134">
      <c r="F134" t="inlineStr">
        <is>
          <t>Monk</t>
        </is>
      </c>
      <c r="G134" t="n">
        <v>13</v>
      </c>
      <c r="H134" t="n">
        <v>0</v>
      </c>
      <c r="I134" t="n">
        <v>0</v>
      </c>
      <c r="J134" t="n">
        <v>0</v>
      </c>
      <c r="K134" t="n">
        <v>0</v>
      </c>
      <c r="L134" t="n">
        <v>0</v>
      </c>
      <c r="M134" t="n">
        <v>0</v>
      </c>
      <c r="N134" t="n">
        <v>0</v>
      </c>
      <c r="O134" t="n">
        <v>0</v>
      </c>
      <c r="P134" t="n">
        <v>0</v>
      </c>
    </row>
    <row r="135">
      <c r="F135" t="inlineStr">
        <is>
          <t>Monk</t>
        </is>
      </c>
      <c r="G135" t="n">
        <v>14</v>
      </c>
      <c r="H135" t="n">
        <v>0</v>
      </c>
      <c r="I135" t="n">
        <v>0</v>
      </c>
      <c r="J135" t="n">
        <v>0</v>
      </c>
      <c r="K135" t="n">
        <v>0</v>
      </c>
      <c r="L135" t="n">
        <v>0</v>
      </c>
      <c r="M135" t="n">
        <v>0</v>
      </c>
      <c r="N135" t="n">
        <v>0</v>
      </c>
      <c r="O135" t="n">
        <v>0</v>
      </c>
      <c r="P135" t="n">
        <v>0</v>
      </c>
    </row>
    <row r="136">
      <c r="F136" t="inlineStr">
        <is>
          <t>Monk</t>
        </is>
      </c>
      <c r="G136" t="n">
        <v>15</v>
      </c>
      <c r="H136" t="n">
        <v>0</v>
      </c>
      <c r="I136" t="n">
        <v>0</v>
      </c>
      <c r="J136" t="n">
        <v>0</v>
      </c>
      <c r="K136" t="n">
        <v>0</v>
      </c>
      <c r="L136" t="n">
        <v>0</v>
      </c>
      <c r="M136" t="n">
        <v>0</v>
      </c>
      <c r="N136" t="n">
        <v>0</v>
      </c>
      <c r="O136" t="n">
        <v>0</v>
      </c>
      <c r="P136" t="n">
        <v>0</v>
      </c>
    </row>
    <row r="137">
      <c r="F137" t="inlineStr">
        <is>
          <t>Monk</t>
        </is>
      </c>
      <c r="G137" t="n">
        <v>16</v>
      </c>
      <c r="H137" t="n">
        <v>0</v>
      </c>
      <c r="I137" t="n">
        <v>0</v>
      </c>
      <c r="J137" t="n">
        <v>0</v>
      </c>
      <c r="K137" t="n">
        <v>0</v>
      </c>
      <c r="L137" t="n">
        <v>0</v>
      </c>
      <c r="M137" t="n">
        <v>0</v>
      </c>
      <c r="N137" t="n">
        <v>0</v>
      </c>
      <c r="O137" t="n">
        <v>0</v>
      </c>
      <c r="P137" t="n">
        <v>0</v>
      </c>
    </row>
    <row r="138">
      <c r="F138" t="inlineStr">
        <is>
          <t>Monk</t>
        </is>
      </c>
      <c r="G138" t="n">
        <v>17</v>
      </c>
      <c r="H138" t="n">
        <v>0</v>
      </c>
      <c r="I138" t="n">
        <v>0</v>
      </c>
      <c r="J138" t="n">
        <v>0</v>
      </c>
      <c r="K138" t="n">
        <v>0</v>
      </c>
      <c r="L138" t="n">
        <v>0</v>
      </c>
      <c r="M138" t="n">
        <v>0</v>
      </c>
      <c r="N138" t="n">
        <v>0</v>
      </c>
      <c r="O138" t="n">
        <v>0</v>
      </c>
      <c r="P138" t="n">
        <v>0</v>
      </c>
    </row>
    <row r="139">
      <c r="F139" t="inlineStr">
        <is>
          <t>Monk</t>
        </is>
      </c>
      <c r="G139" t="n">
        <v>18</v>
      </c>
      <c r="H139" t="n">
        <v>0</v>
      </c>
      <c r="I139" t="n">
        <v>0</v>
      </c>
      <c r="J139" t="n">
        <v>0</v>
      </c>
      <c r="K139" t="n">
        <v>0</v>
      </c>
      <c r="L139" t="n">
        <v>0</v>
      </c>
      <c r="M139" t="n">
        <v>0</v>
      </c>
      <c r="N139" t="n">
        <v>0</v>
      </c>
      <c r="O139" t="n">
        <v>0</v>
      </c>
      <c r="P139" t="n">
        <v>0</v>
      </c>
    </row>
    <row r="140">
      <c r="F140" t="inlineStr">
        <is>
          <t>Monk</t>
        </is>
      </c>
      <c r="G140" t="n">
        <v>19</v>
      </c>
      <c r="H140" t="n">
        <v>0</v>
      </c>
      <c r="I140" t="n">
        <v>0</v>
      </c>
      <c r="J140" t="n">
        <v>0</v>
      </c>
      <c r="K140" t="n">
        <v>0</v>
      </c>
      <c r="L140" t="n">
        <v>0</v>
      </c>
      <c r="M140" t="n">
        <v>0</v>
      </c>
      <c r="N140" t="n">
        <v>0</v>
      </c>
      <c r="O140" t="n">
        <v>0</v>
      </c>
      <c r="P140" t="n">
        <v>0</v>
      </c>
    </row>
    <row r="141">
      <c r="F141" t="inlineStr">
        <is>
          <t>Monk</t>
        </is>
      </c>
      <c r="G141" t="n">
        <v>20</v>
      </c>
      <c r="H141" t="n">
        <v>0</v>
      </c>
      <c r="I141" t="n">
        <v>0</v>
      </c>
      <c r="J141" t="n">
        <v>0</v>
      </c>
      <c r="K141" t="n">
        <v>0</v>
      </c>
      <c r="L141" t="n">
        <v>0</v>
      </c>
      <c r="M141" t="n">
        <v>0</v>
      </c>
      <c r="N141" t="n">
        <v>0</v>
      </c>
      <c r="O141" t="n">
        <v>0</v>
      </c>
      <c r="P141" t="n">
        <v>0</v>
      </c>
    </row>
    <row r="142">
      <c r="F142" t="inlineStr">
        <is>
          <t>Paladin</t>
        </is>
      </c>
      <c r="G142" t="n">
        <v>1</v>
      </c>
      <c r="H142" t="n">
        <v>0</v>
      </c>
      <c r="I142" t="n">
        <v>0</v>
      </c>
      <c r="J142" t="n">
        <v>0</v>
      </c>
      <c r="K142" t="n">
        <v>0</v>
      </c>
      <c r="L142" t="n">
        <v>0</v>
      </c>
      <c r="M142" t="n">
        <v>0</v>
      </c>
      <c r="N142" t="n">
        <v>0</v>
      </c>
      <c r="O142" t="n">
        <v>0</v>
      </c>
      <c r="P142" t="n">
        <v>0</v>
      </c>
    </row>
    <row r="143">
      <c r="F143" t="inlineStr">
        <is>
          <t>Paladin</t>
        </is>
      </c>
      <c r="G143" t="n">
        <v>2</v>
      </c>
      <c r="H143" t="n">
        <v>2</v>
      </c>
      <c r="I143" t="n">
        <v>0</v>
      </c>
      <c r="J143" t="n">
        <v>0</v>
      </c>
      <c r="K143" t="n">
        <v>0</v>
      </c>
      <c r="L143" t="n">
        <v>0</v>
      </c>
      <c r="M143" t="n">
        <v>0</v>
      </c>
      <c r="N143" t="n">
        <v>0</v>
      </c>
      <c r="O143" t="n">
        <v>0</v>
      </c>
      <c r="P143" t="n">
        <v>0</v>
      </c>
    </row>
    <row r="144">
      <c r="F144" t="inlineStr">
        <is>
          <t>Paladin</t>
        </is>
      </c>
      <c r="G144" t="n">
        <v>3</v>
      </c>
      <c r="H144" t="n">
        <v>3</v>
      </c>
      <c r="I144" t="n">
        <v>0</v>
      </c>
      <c r="J144" t="n">
        <v>0</v>
      </c>
      <c r="K144" t="n">
        <v>0</v>
      </c>
      <c r="L144" t="n">
        <v>0</v>
      </c>
      <c r="M144" t="n">
        <v>0</v>
      </c>
      <c r="N144" t="n">
        <v>0</v>
      </c>
      <c r="O144" t="n">
        <v>0</v>
      </c>
      <c r="P144" t="n">
        <v>0</v>
      </c>
    </row>
    <row r="145">
      <c r="F145" t="inlineStr">
        <is>
          <t>Paladin</t>
        </is>
      </c>
      <c r="G145" t="n">
        <v>4</v>
      </c>
      <c r="H145" t="n">
        <v>3</v>
      </c>
      <c r="I145" t="n">
        <v>0</v>
      </c>
      <c r="J145" t="n">
        <v>0</v>
      </c>
      <c r="K145" t="n">
        <v>0</v>
      </c>
      <c r="L145" t="n">
        <v>0</v>
      </c>
      <c r="M145" t="n">
        <v>0</v>
      </c>
      <c r="N145" t="n">
        <v>0</v>
      </c>
      <c r="O145" t="n">
        <v>0</v>
      </c>
      <c r="P145" t="n">
        <v>0</v>
      </c>
    </row>
    <row r="146">
      <c r="F146" t="inlineStr">
        <is>
          <t>Paladin</t>
        </is>
      </c>
      <c r="G146" t="n">
        <v>5</v>
      </c>
      <c r="H146" t="n">
        <v>4</v>
      </c>
      <c r="I146" t="n">
        <v>2</v>
      </c>
      <c r="J146" t="n">
        <v>0</v>
      </c>
      <c r="K146" t="n">
        <v>0</v>
      </c>
      <c r="L146" t="n">
        <v>0</v>
      </c>
      <c r="M146" t="n">
        <v>0</v>
      </c>
      <c r="N146" t="n">
        <v>0</v>
      </c>
      <c r="O146" t="n">
        <v>0</v>
      </c>
      <c r="P146" t="n">
        <v>0</v>
      </c>
    </row>
    <row r="147">
      <c r="F147" t="inlineStr">
        <is>
          <t>Paladin</t>
        </is>
      </c>
      <c r="G147" t="n">
        <v>6</v>
      </c>
      <c r="H147" t="n">
        <v>4</v>
      </c>
      <c r="I147" t="n">
        <v>2</v>
      </c>
      <c r="J147" t="n">
        <v>0</v>
      </c>
      <c r="K147" t="n">
        <v>0</v>
      </c>
      <c r="L147" t="n">
        <v>0</v>
      </c>
      <c r="M147" t="n">
        <v>0</v>
      </c>
      <c r="N147" t="n">
        <v>0</v>
      </c>
      <c r="O147" t="n">
        <v>0</v>
      </c>
      <c r="P147" t="n">
        <v>0</v>
      </c>
    </row>
    <row r="148">
      <c r="F148" t="inlineStr">
        <is>
          <t>Paladin</t>
        </is>
      </c>
      <c r="G148" t="n">
        <v>7</v>
      </c>
      <c r="H148" t="n">
        <v>4</v>
      </c>
      <c r="I148" t="n">
        <v>3</v>
      </c>
      <c r="J148" t="n">
        <v>0</v>
      </c>
      <c r="K148" t="n">
        <v>0</v>
      </c>
      <c r="L148" t="n">
        <v>0</v>
      </c>
      <c r="M148" t="n">
        <v>0</v>
      </c>
      <c r="N148" t="n">
        <v>0</v>
      </c>
      <c r="O148" t="n">
        <v>0</v>
      </c>
      <c r="P148" t="n">
        <v>0</v>
      </c>
    </row>
    <row r="149">
      <c r="F149" t="inlineStr">
        <is>
          <t>Paladin</t>
        </is>
      </c>
      <c r="G149" t="n">
        <v>8</v>
      </c>
      <c r="H149" t="n">
        <v>4</v>
      </c>
      <c r="I149" t="n">
        <v>3</v>
      </c>
      <c r="J149" t="n">
        <v>0</v>
      </c>
      <c r="K149" t="n">
        <v>0</v>
      </c>
      <c r="L149" t="n">
        <v>0</v>
      </c>
      <c r="M149" t="n">
        <v>0</v>
      </c>
      <c r="N149" t="n">
        <v>0</v>
      </c>
      <c r="O149" t="n">
        <v>0</v>
      </c>
      <c r="P149" t="n">
        <v>0</v>
      </c>
    </row>
    <row r="150">
      <c r="F150" t="inlineStr">
        <is>
          <t>Paladin</t>
        </is>
      </c>
      <c r="G150" t="n">
        <v>9</v>
      </c>
      <c r="H150" t="n">
        <v>4</v>
      </c>
      <c r="I150" t="n">
        <v>3</v>
      </c>
      <c r="J150" t="n">
        <v>2</v>
      </c>
      <c r="K150" t="n">
        <v>0</v>
      </c>
      <c r="L150" t="n">
        <v>0</v>
      </c>
      <c r="M150" t="n">
        <v>0</v>
      </c>
      <c r="N150" t="n">
        <v>0</v>
      </c>
      <c r="O150" t="n">
        <v>0</v>
      </c>
      <c r="P150" t="n">
        <v>0</v>
      </c>
    </row>
    <row r="151">
      <c r="F151" t="inlineStr">
        <is>
          <t>Paladin</t>
        </is>
      </c>
      <c r="G151" t="n">
        <v>10</v>
      </c>
      <c r="H151" t="n">
        <v>4</v>
      </c>
      <c r="I151" t="n">
        <v>3</v>
      </c>
      <c r="J151" t="n">
        <v>2</v>
      </c>
      <c r="K151" t="n">
        <v>0</v>
      </c>
      <c r="L151" t="n">
        <v>0</v>
      </c>
      <c r="M151" t="n">
        <v>0</v>
      </c>
      <c r="N151" t="n">
        <v>0</v>
      </c>
      <c r="O151" t="n">
        <v>0</v>
      </c>
      <c r="P151" t="n">
        <v>0</v>
      </c>
    </row>
    <row r="152">
      <c r="F152" t="inlineStr">
        <is>
          <t>Paladin</t>
        </is>
      </c>
      <c r="G152" t="n">
        <v>11</v>
      </c>
      <c r="H152" t="n">
        <v>4</v>
      </c>
      <c r="I152" t="n">
        <v>3</v>
      </c>
      <c r="J152" t="n">
        <v>3</v>
      </c>
      <c r="K152" t="n">
        <v>0</v>
      </c>
      <c r="L152" t="n">
        <v>0</v>
      </c>
      <c r="M152" t="n">
        <v>0</v>
      </c>
      <c r="N152" t="n">
        <v>0</v>
      </c>
      <c r="O152" t="n">
        <v>0</v>
      </c>
      <c r="P152" t="n">
        <v>0</v>
      </c>
    </row>
    <row r="153">
      <c r="F153" t="inlineStr">
        <is>
          <t>Paladin</t>
        </is>
      </c>
      <c r="G153" t="n">
        <v>12</v>
      </c>
      <c r="H153" t="n">
        <v>4</v>
      </c>
      <c r="I153" t="n">
        <v>3</v>
      </c>
      <c r="J153" t="n">
        <v>3</v>
      </c>
      <c r="K153" t="n">
        <v>0</v>
      </c>
      <c r="L153" t="n">
        <v>0</v>
      </c>
      <c r="M153" t="n">
        <v>0</v>
      </c>
      <c r="N153" t="n">
        <v>0</v>
      </c>
      <c r="O153" t="n">
        <v>0</v>
      </c>
      <c r="P153" t="n">
        <v>0</v>
      </c>
    </row>
    <row r="154">
      <c r="F154" t="inlineStr">
        <is>
          <t>Paladin</t>
        </is>
      </c>
      <c r="G154" t="n">
        <v>13</v>
      </c>
      <c r="H154" t="n">
        <v>4</v>
      </c>
      <c r="I154" t="n">
        <v>3</v>
      </c>
      <c r="J154" t="n">
        <v>3</v>
      </c>
      <c r="K154" t="n">
        <v>1</v>
      </c>
      <c r="L154" t="n">
        <v>0</v>
      </c>
      <c r="M154" t="n">
        <v>0</v>
      </c>
      <c r="N154" t="n">
        <v>0</v>
      </c>
      <c r="O154" t="n">
        <v>0</v>
      </c>
      <c r="P154" t="n">
        <v>0</v>
      </c>
    </row>
    <row r="155">
      <c r="F155" t="inlineStr">
        <is>
          <t>Paladin</t>
        </is>
      </c>
      <c r="G155" t="n">
        <v>14</v>
      </c>
      <c r="H155" t="n">
        <v>4</v>
      </c>
      <c r="I155" t="n">
        <v>3</v>
      </c>
      <c r="J155" t="n">
        <v>3</v>
      </c>
      <c r="K155" t="n">
        <v>1</v>
      </c>
      <c r="L155" t="n">
        <v>0</v>
      </c>
      <c r="M155" t="n">
        <v>0</v>
      </c>
      <c r="N155" t="n">
        <v>0</v>
      </c>
      <c r="O155" t="n">
        <v>0</v>
      </c>
      <c r="P155" t="n">
        <v>0</v>
      </c>
    </row>
    <row r="156">
      <c r="F156" t="inlineStr">
        <is>
          <t>Paladin</t>
        </is>
      </c>
      <c r="G156" t="n">
        <v>15</v>
      </c>
      <c r="H156" t="n">
        <v>4</v>
      </c>
      <c r="I156" t="n">
        <v>3</v>
      </c>
      <c r="J156" t="n">
        <v>3</v>
      </c>
      <c r="K156" t="n">
        <v>2</v>
      </c>
      <c r="L156" t="n">
        <v>0</v>
      </c>
      <c r="M156" t="n">
        <v>0</v>
      </c>
      <c r="N156" t="n">
        <v>0</v>
      </c>
      <c r="O156" t="n">
        <v>0</v>
      </c>
      <c r="P156" t="n">
        <v>0</v>
      </c>
    </row>
    <row r="157">
      <c r="F157" t="inlineStr">
        <is>
          <t>Paladin</t>
        </is>
      </c>
      <c r="G157" t="n">
        <v>16</v>
      </c>
      <c r="H157" t="n">
        <v>4</v>
      </c>
      <c r="I157" t="n">
        <v>3</v>
      </c>
      <c r="J157" t="n">
        <v>3</v>
      </c>
      <c r="K157" t="n">
        <v>2</v>
      </c>
      <c r="L157" t="n">
        <v>0</v>
      </c>
      <c r="M157" t="n">
        <v>0</v>
      </c>
      <c r="N157" t="n">
        <v>0</v>
      </c>
      <c r="O157" t="n">
        <v>0</v>
      </c>
      <c r="P157" t="n">
        <v>0</v>
      </c>
    </row>
    <row r="158">
      <c r="F158" t="inlineStr">
        <is>
          <t>Paladin</t>
        </is>
      </c>
      <c r="G158" t="n">
        <v>17</v>
      </c>
      <c r="H158" t="n">
        <v>4</v>
      </c>
      <c r="I158" t="n">
        <v>3</v>
      </c>
      <c r="J158" t="n">
        <v>3</v>
      </c>
      <c r="K158" t="n">
        <v>3</v>
      </c>
      <c r="L158" t="n">
        <v>1</v>
      </c>
      <c r="M158" t="n">
        <v>0</v>
      </c>
      <c r="N158" t="n">
        <v>0</v>
      </c>
      <c r="O158" t="n">
        <v>0</v>
      </c>
      <c r="P158" t="n">
        <v>0</v>
      </c>
    </row>
    <row r="159">
      <c r="F159" t="inlineStr">
        <is>
          <t>Paladin</t>
        </is>
      </c>
      <c r="G159" t="n">
        <v>18</v>
      </c>
      <c r="H159" t="n">
        <v>4</v>
      </c>
      <c r="I159" t="n">
        <v>3</v>
      </c>
      <c r="J159" t="n">
        <v>3</v>
      </c>
      <c r="K159" t="n">
        <v>3</v>
      </c>
      <c r="L159" t="n">
        <v>1</v>
      </c>
      <c r="M159" t="n">
        <v>0</v>
      </c>
      <c r="N159" t="n">
        <v>0</v>
      </c>
      <c r="O159" t="n">
        <v>0</v>
      </c>
      <c r="P159" t="n">
        <v>0</v>
      </c>
    </row>
    <row r="160">
      <c r="F160" t="inlineStr">
        <is>
          <t>Paladin</t>
        </is>
      </c>
      <c r="G160" t="n">
        <v>19</v>
      </c>
      <c r="H160" t="n">
        <v>4</v>
      </c>
      <c r="I160" t="n">
        <v>3</v>
      </c>
      <c r="J160" t="n">
        <v>3</v>
      </c>
      <c r="K160" t="n">
        <v>3</v>
      </c>
      <c r="L160" t="n">
        <v>2</v>
      </c>
      <c r="M160" t="n">
        <v>0</v>
      </c>
      <c r="N160" t="n">
        <v>0</v>
      </c>
      <c r="O160" t="n">
        <v>0</v>
      </c>
      <c r="P160" t="n">
        <v>0</v>
      </c>
    </row>
    <row r="161">
      <c r="F161" t="inlineStr">
        <is>
          <t>Paladin</t>
        </is>
      </c>
      <c r="G161" t="n">
        <v>20</v>
      </c>
      <c r="H161" t="n">
        <v>4</v>
      </c>
      <c r="I161" t="n">
        <v>3</v>
      </c>
      <c r="J161" t="n">
        <v>3</v>
      </c>
      <c r="K161" t="n">
        <v>3</v>
      </c>
      <c r="L161" t="n">
        <v>2</v>
      </c>
      <c r="M161" t="n">
        <v>0</v>
      </c>
      <c r="N161" t="n">
        <v>0</v>
      </c>
      <c r="O161" t="n">
        <v>0</v>
      </c>
      <c r="P161" t="n">
        <v>0</v>
      </c>
    </row>
    <row r="162">
      <c r="F162" t="inlineStr">
        <is>
          <t>Ranger</t>
        </is>
      </c>
      <c r="G162" t="n">
        <v>1</v>
      </c>
      <c r="H162" t="n">
        <v>0</v>
      </c>
      <c r="I162" t="n">
        <v>0</v>
      </c>
      <c r="J162" t="n">
        <v>0</v>
      </c>
      <c r="K162" t="n">
        <v>0</v>
      </c>
      <c r="L162" t="n">
        <v>0</v>
      </c>
      <c r="M162" t="n">
        <v>0</v>
      </c>
      <c r="N162" t="n">
        <v>0</v>
      </c>
      <c r="O162" t="n">
        <v>0</v>
      </c>
      <c r="P162" t="n">
        <v>0</v>
      </c>
    </row>
    <row r="163">
      <c r="F163" t="inlineStr">
        <is>
          <t>Ranger</t>
        </is>
      </c>
      <c r="G163" t="n">
        <v>2</v>
      </c>
      <c r="H163" t="n">
        <v>2</v>
      </c>
      <c r="I163" t="n">
        <v>0</v>
      </c>
      <c r="J163" t="n">
        <v>0</v>
      </c>
      <c r="K163" t="n">
        <v>0</v>
      </c>
      <c r="L163" t="n">
        <v>0</v>
      </c>
      <c r="M163" t="n">
        <v>0</v>
      </c>
      <c r="N163" t="n">
        <v>0</v>
      </c>
      <c r="O163" t="n">
        <v>0</v>
      </c>
      <c r="P163" t="n">
        <v>0</v>
      </c>
    </row>
    <row r="164">
      <c r="F164" t="inlineStr">
        <is>
          <t>Ranger</t>
        </is>
      </c>
      <c r="G164" t="n">
        <v>3</v>
      </c>
      <c r="H164" t="n">
        <v>3</v>
      </c>
      <c r="I164" t="n">
        <v>0</v>
      </c>
      <c r="J164" t="n">
        <v>0</v>
      </c>
      <c r="K164" t="n">
        <v>0</v>
      </c>
      <c r="L164" t="n">
        <v>0</v>
      </c>
      <c r="M164" t="n">
        <v>0</v>
      </c>
      <c r="N164" t="n">
        <v>0</v>
      </c>
      <c r="O164" t="n">
        <v>0</v>
      </c>
      <c r="P164" t="n">
        <v>0</v>
      </c>
    </row>
    <row r="165">
      <c r="F165" t="inlineStr">
        <is>
          <t>Ranger</t>
        </is>
      </c>
      <c r="G165" t="n">
        <v>4</v>
      </c>
      <c r="H165" t="n">
        <v>3</v>
      </c>
      <c r="I165" t="n">
        <v>0</v>
      </c>
      <c r="J165" t="n">
        <v>0</v>
      </c>
      <c r="K165" t="n">
        <v>0</v>
      </c>
      <c r="L165" t="n">
        <v>0</v>
      </c>
      <c r="M165" t="n">
        <v>0</v>
      </c>
      <c r="N165" t="n">
        <v>0</v>
      </c>
      <c r="O165" t="n">
        <v>0</v>
      </c>
      <c r="P165" t="n">
        <v>0</v>
      </c>
    </row>
    <row r="166">
      <c r="F166" t="inlineStr">
        <is>
          <t>Ranger</t>
        </is>
      </c>
      <c r="G166" t="n">
        <v>5</v>
      </c>
      <c r="H166" t="n">
        <v>4</v>
      </c>
      <c r="I166" t="n">
        <v>2</v>
      </c>
      <c r="J166" t="n">
        <v>0</v>
      </c>
      <c r="K166" t="n">
        <v>0</v>
      </c>
      <c r="L166" t="n">
        <v>0</v>
      </c>
      <c r="M166" t="n">
        <v>0</v>
      </c>
      <c r="N166" t="n">
        <v>0</v>
      </c>
      <c r="O166" t="n">
        <v>0</v>
      </c>
      <c r="P166" t="n">
        <v>0</v>
      </c>
    </row>
    <row r="167">
      <c r="F167" t="inlineStr">
        <is>
          <t>Ranger</t>
        </is>
      </c>
      <c r="G167" t="n">
        <v>6</v>
      </c>
      <c r="H167" t="n">
        <v>4</v>
      </c>
      <c r="I167" t="n">
        <v>2</v>
      </c>
      <c r="J167" t="n">
        <v>0</v>
      </c>
      <c r="K167" t="n">
        <v>0</v>
      </c>
      <c r="L167" t="n">
        <v>0</v>
      </c>
      <c r="M167" t="n">
        <v>0</v>
      </c>
      <c r="N167" t="n">
        <v>0</v>
      </c>
      <c r="O167" t="n">
        <v>0</v>
      </c>
      <c r="P167" t="n">
        <v>0</v>
      </c>
    </row>
    <row r="168">
      <c r="F168" t="inlineStr">
        <is>
          <t>Ranger</t>
        </is>
      </c>
      <c r="G168" t="n">
        <v>7</v>
      </c>
      <c r="H168" t="n">
        <v>4</v>
      </c>
      <c r="I168" t="n">
        <v>3</v>
      </c>
      <c r="J168" t="n">
        <v>0</v>
      </c>
      <c r="K168" t="n">
        <v>0</v>
      </c>
      <c r="L168" t="n">
        <v>0</v>
      </c>
      <c r="M168" t="n">
        <v>0</v>
      </c>
      <c r="N168" t="n">
        <v>0</v>
      </c>
      <c r="O168" t="n">
        <v>0</v>
      </c>
      <c r="P168" t="n">
        <v>0</v>
      </c>
    </row>
    <row r="169">
      <c r="F169" t="inlineStr">
        <is>
          <t>Ranger</t>
        </is>
      </c>
      <c r="G169" t="n">
        <v>8</v>
      </c>
      <c r="H169" t="n">
        <v>4</v>
      </c>
      <c r="I169" t="n">
        <v>3</v>
      </c>
      <c r="J169" t="n">
        <v>0</v>
      </c>
      <c r="K169" t="n">
        <v>0</v>
      </c>
      <c r="L169" t="n">
        <v>0</v>
      </c>
      <c r="M169" t="n">
        <v>0</v>
      </c>
      <c r="N169" t="n">
        <v>0</v>
      </c>
      <c r="O169" t="n">
        <v>0</v>
      </c>
      <c r="P169" t="n">
        <v>0</v>
      </c>
    </row>
    <row r="170">
      <c r="F170" t="inlineStr">
        <is>
          <t>Ranger</t>
        </is>
      </c>
      <c r="G170" t="n">
        <v>9</v>
      </c>
      <c r="H170" t="n">
        <v>4</v>
      </c>
      <c r="I170" t="n">
        <v>3</v>
      </c>
      <c r="J170" t="n">
        <v>2</v>
      </c>
      <c r="K170" t="n">
        <v>0</v>
      </c>
      <c r="L170" t="n">
        <v>0</v>
      </c>
      <c r="M170" t="n">
        <v>0</v>
      </c>
      <c r="N170" t="n">
        <v>0</v>
      </c>
      <c r="O170" t="n">
        <v>0</v>
      </c>
      <c r="P170" t="n">
        <v>0</v>
      </c>
    </row>
    <row r="171">
      <c r="F171" t="inlineStr">
        <is>
          <t>Ranger</t>
        </is>
      </c>
      <c r="G171" t="n">
        <v>10</v>
      </c>
      <c r="H171" t="n">
        <v>4</v>
      </c>
      <c r="I171" t="n">
        <v>3</v>
      </c>
      <c r="J171" t="n">
        <v>2</v>
      </c>
      <c r="K171" t="n">
        <v>0</v>
      </c>
      <c r="L171" t="n">
        <v>0</v>
      </c>
      <c r="M171" t="n">
        <v>0</v>
      </c>
      <c r="N171" t="n">
        <v>0</v>
      </c>
      <c r="O171" t="n">
        <v>0</v>
      </c>
      <c r="P171" t="n">
        <v>0</v>
      </c>
    </row>
    <row r="172">
      <c r="F172" t="inlineStr">
        <is>
          <t>Ranger</t>
        </is>
      </c>
      <c r="G172" t="n">
        <v>11</v>
      </c>
      <c r="H172" t="n">
        <v>4</v>
      </c>
      <c r="I172" t="n">
        <v>3</v>
      </c>
      <c r="J172" t="n">
        <v>3</v>
      </c>
      <c r="K172" t="n">
        <v>0</v>
      </c>
      <c r="L172" t="n">
        <v>0</v>
      </c>
      <c r="M172" t="n">
        <v>0</v>
      </c>
      <c r="N172" t="n">
        <v>0</v>
      </c>
      <c r="O172" t="n">
        <v>0</v>
      </c>
      <c r="P172" t="n">
        <v>0</v>
      </c>
    </row>
    <row r="173">
      <c r="F173" t="inlineStr">
        <is>
          <t>Ranger</t>
        </is>
      </c>
      <c r="G173" t="n">
        <v>12</v>
      </c>
      <c r="H173" t="n">
        <v>4</v>
      </c>
      <c r="I173" t="n">
        <v>3</v>
      </c>
      <c r="J173" t="n">
        <v>3</v>
      </c>
      <c r="K173" t="n">
        <v>0</v>
      </c>
      <c r="L173" t="n">
        <v>0</v>
      </c>
      <c r="M173" t="n">
        <v>0</v>
      </c>
      <c r="N173" t="n">
        <v>0</v>
      </c>
      <c r="O173" t="n">
        <v>0</v>
      </c>
      <c r="P173" t="n">
        <v>0</v>
      </c>
    </row>
    <row r="174">
      <c r="F174" t="inlineStr">
        <is>
          <t>Ranger</t>
        </is>
      </c>
      <c r="G174" t="n">
        <v>13</v>
      </c>
      <c r="H174" t="n">
        <v>4</v>
      </c>
      <c r="I174" t="n">
        <v>3</v>
      </c>
      <c r="J174" t="n">
        <v>3</v>
      </c>
      <c r="K174" t="n">
        <v>1</v>
      </c>
      <c r="L174" t="n">
        <v>0</v>
      </c>
      <c r="M174" t="n">
        <v>0</v>
      </c>
      <c r="N174" t="n">
        <v>0</v>
      </c>
      <c r="O174" t="n">
        <v>0</v>
      </c>
      <c r="P174" t="n">
        <v>0</v>
      </c>
    </row>
    <row r="175">
      <c r="F175" t="inlineStr">
        <is>
          <t>Ranger</t>
        </is>
      </c>
      <c r="G175" t="n">
        <v>14</v>
      </c>
      <c r="H175" t="n">
        <v>4</v>
      </c>
      <c r="I175" t="n">
        <v>3</v>
      </c>
      <c r="J175" t="n">
        <v>3</v>
      </c>
      <c r="K175" t="n">
        <v>1</v>
      </c>
      <c r="L175" t="n">
        <v>0</v>
      </c>
      <c r="M175" t="n">
        <v>0</v>
      </c>
      <c r="N175" t="n">
        <v>0</v>
      </c>
      <c r="O175" t="n">
        <v>0</v>
      </c>
      <c r="P175" t="n">
        <v>0</v>
      </c>
    </row>
    <row r="176">
      <c r="F176" t="inlineStr">
        <is>
          <t>Ranger</t>
        </is>
      </c>
      <c r="G176" t="n">
        <v>15</v>
      </c>
      <c r="H176" t="n">
        <v>4</v>
      </c>
      <c r="I176" t="n">
        <v>3</v>
      </c>
      <c r="J176" t="n">
        <v>3</v>
      </c>
      <c r="K176" t="n">
        <v>2</v>
      </c>
      <c r="L176" t="n">
        <v>0</v>
      </c>
      <c r="M176" t="n">
        <v>0</v>
      </c>
      <c r="N176" t="n">
        <v>0</v>
      </c>
      <c r="O176" t="n">
        <v>0</v>
      </c>
      <c r="P176" t="n">
        <v>0</v>
      </c>
    </row>
    <row r="177">
      <c r="F177" t="inlineStr">
        <is>
          <t>Ranger</t>
        </is>
      </c>
      <c r="G177" t="n">
        <v>16</v>
      </c>
      <c r="H177" t="n">
        <v>4</v>
      </c>
      <c r="I177" t="n">
        <v>3</v>
      </c>
      <c r="J177" t="n">
        <v>3</v>
      </c>
      <c r="K177" t="n">
        <v>2</v>
      </c>
      <c r="L177" t="n">
        <v>0</v>
      </c>
      <c r="M177" t="n">
        <v>0</v>
      </c>
      <c r="N177" t="n">
        <v>0</v>
      </c>
      <c r="O177" t="n">
        <v>0</v>
      </c>
      <c r="P177" t="n">
        <v>0</v>
      </c>
    </row>
    <row r="178">
      <c r="F178" t="inlineStr">
        <is>
          <t>Ranger</t>
        </is>
      </c>
      <c r="G178" t="n">
        <v>17</v>
      </c>
      <c r="H178" t="n">
        <v>4</v>
      </c>
      <c r="I178" t="n">
        <v>3</v>
      </c>
      <c r="J178" t="n">
        <v>3</v>
      </c>
      <c r="K178" t="n">
        <v>3</v>
      </c>
      <c r="L178" t="n">
        <v>1</v>
      </c>
      <c r="M178" t="n">
        <v>0</v>
      </c>
      <c r="N178" t="n">
        <v>0</v>
      </c>
      <c r="O178" t="n">
        <v>0</v>
      </c>
      <c r="P178" t="n">
        <v>0</v>
      </c>
    </row>
    <row r="179">
      <c r="F179" t="inlineStr">
        <is>
          <t>Ranger</t>
        </is>
      </c>
      <c r="G179" t="n">
        <v>18</v>
      </c>
      <c r="H179" t="n">
        <v>4</v>
      </c>
      <c r="I179" t="n">
        <v>3</v>
      </c>
      <c r="J179" t="n">
        <v>3</v>
      </c>
      <c r="K179" t="n">
        <v>3</v>
      </c>
      <c r="L179" t="n">
        <v>1</v>
      </c>
      <c r="M179" t="n">
        <v>0</v>
      </c>
      <c r="N179" t="n">
        <v>0</v>
      </c>
      <c r="O179" t="n">
        <v>0</v>
      </c>
      <c r="P179" t="n">
        <v>0</v>
      </c>
    </row>
    <row r="180">
      <c r="F180" t="inlineStr">
        <is>
          <t>Ranger</t>
        </is>
      </c>
      <c r="G180" t="n">
        <v>19</v>
      </c>
      <c r="H180" t="n">
        <v>4</v>
      </c>
      <c r="I180" t="n">
        <v>3</v>
      </c>
      <c r="J180" t="n">
        <v>3</v>
      </c>
      <c r="K180" t="n">
        <v>3</v>
      </c>
      <c r="L180" t="n">
        <v>2</v>
      </c>
      <c r="M180" t="n">
        <v>0</v>
      </c>
      <c r="N180" t="n">
        <v>0</v>
      </c>
      <c r="O180" t="n">
        <v>0</v>
      </c>
      <c r="P180" t="n">
        <v>0</v>
      </c>
    </row>
    <row r="181">
      <c r="F181" t="inlineStr">
        <is>
          <t>Ranger</t>
        </is>
      </c>
      <c r="G181" t="n">
        <v>20</v>
      </c>
      <c r="H181" t="n">
        <v>4</v>
      </c>
      <c r="I181" t="n">
        <v>3</v>
      </c>
      <c r="J181" t="n">
        <v>3</v>
      </c>
      <c r="K181" t="n">
        <v>3</v>
      </c>
      <c r="L181" t="n">
        <v>2</v>
      </c>
      <c r="M181" t="n">
        <v>0</v>
      </c>
      <c r="N181" t="n">
        <v>0</v>
      </c>
      <c r="O181" t="n">
        <v>0</v>
      </c>
      <c r="P181" t="n">
        <v>0</v>
      </c>
    </row>
    <row r="182">
      <c r="F182" t="inlineStr">
        <is>
          <t>Rogue</t>
        </is>
      </c>
      <c r="G182" t="n">
        <v>1</v>
      </c>
      <c r="H182" t="n">
        <v>0</v>
      </c>
      <c r="I182" t="n">
        <v>0</v>
      </c>
      <c r="J182" t="n">
        <v>0</v>
      </c>
      <c r="K182" t="n">
        <v>0</v>
      </c>
      <c r="L182" t="n">
        <v>0</v>
      </c>
      <c r="M182" t="n">
        <v>0</v>
      </c>
      <c r="N182" t="n">
        <v>0</v>
      </c>
      <c r="O182" t="n">
        <v>0</v>
      </c>
      <c r="P182" t="n">
        <v>0</v>
      </c>
    </row>
    <row r="183">
      <c r="F183" t="inlineStr">
        <is>
          <t>Rogue</t>
        </is>
      </c>
      <c r="G183" t="n">
        <v>2</v>
      </c>
      <c r="H183" t="n">
        <v>0</v>
      </c>
      <c r="I183" t="n">
        <v>0</v>
      </c>
      <c r="J183" t="n">
        <v>0</v>
      </c>
      <c r="K183" t="n">
        <v>0</v>
      </c>
      <c r="L183" t="n">
        <v>0</v>
      </c>
      <c r="M183" t="n">
        <v>0</v>
      </c>
      <c r="N183" t="n">
        <v>0</v>
      </c>
      <c r="O183" t="n">
        <v>0</v>
      </c>
      <c r="P183" t="n">
        <v>0</v>
      </c>
    </row>
    <row r="184">
      <c r="F184" t="inlineStr">
        <is>
          <t>Rogue</t>
        </is>
      </c>
      <c r="G184" t="n">
        <v>3</v>
      </c>
      <c r="H184" t="n">
        <v>0</v>
      </c>
      <c r="I184" t="n">
        <v>0</v>
      </c>
      <c r="J184" t="n">
        <v>0</v>
      </c>
      <c r="K184" t="n">
        <v>0</v>
      </c>
      <c r="L184" t="n">
        <v>0</v>
      </c>
      <c r="M184" t="n">
        <v>0</v>
      </c>
      <c r="N184" t="n">
        <v>0</v>
      </c>
      <c r="O184" t="n">
        <v>0</v>
      </c>
      <c r="P184" t="n">
        <v>0</v>
      </c>
    </row>
    <row r="185">
      <c r="F185" t="inlineStr">
        <is>
          <t>Rogue</t>
        </is>
      </c>
      <c r="G185" t="n">
        <v>4</v>
      </c>
      <c r="H185" t="n">
        <v>0</v>
      </c>
      <c r="I185" t="n">
        <v>0</v>
      </c>
      <c r="J185" t="n">
        <v>0</v>
      </c>
      <c r="K185" t="n">
        <v>0</v>
      </c>
      <c r="L185" t="n">
        <v>0</v>
      </c>
      <c r="M185" t="n">
        <v>0</v>
      </c>
      <c r="N185" t="n">
        <v>0</v>
      </c>
      <c r="O185" t="n">
        <v>0</v>
      </c>
      <c r="P185" t="n">
        <v>0</v>
      </c>
    </row>
    <row r="186">
      <c r="F186" t="inlineStr">
        <is>
          <t>Rogue</t>
        </is>
      </c>
      <c r="G186" t="n">
        <v>5</v>
      </c>
      <c r="H186" t="n">
        <v>0</v>
      </c>
      <c r="I186" t="n">
        <v>0</v>
      </c>
      <c r="J186" t="n">
        <v>0</v>
      </c>
      <c r="K186" t="n">
        <v>0</v>
      </c>
      <c r="L186" t="n">
        <v>0</v>
      </c>
      <c r="M186" t="n">
        <v>0</v>
      </c>
      <c r="N186" t="n">
        <v>0</v>
      </c>
      <c r="O186" t="n">
        <v>0</v>
      </c>
      <c r="P186" t="n">
        <v>0</v>
      </c>
    </row>
    <row r="187">
      <c r="F187" t="inlineStr">
        <is>
          <t>Rogue</t>
        </is>
      </c>
      <c r="G187" t="n">
        <v>6</v>
      </c>
      <c r="H187" t="n">
        <v>0</v>
      </c>
      <c r="I187" t="n">
        <v>0</v>
      </c>
      <c r="J187" t="n">
        <v>0</v>
      </c>
      <c r="K187" t="n">
        <v>0</v>
      </c>
      <c r="L187" t="n">
        <v>0</v>
      </c>
      <c r="M187" t="n">
        <v>0</v>
      </c>
      <c r="N187" t="n">
        <v>0</v>
      </c>
      <c r="O187" t="n">
        <v>0</v>
      </c>
      <c r="P187" t="n">
        <v>0</v>
      </c>
    </row>
    <row r="188">
      <c r="F188" t="inlineStr">
        <is>
          <t>Rogue</t>
        </is>
      </c>
      <c r="G188" t="n">
        <v>7</v>
      </c>
      <c r="H188" t="n">
        <v>0</v>
      </c>
      <c r="I188" t="n">
        <v>0</v>
      </c>
      <c r="J188" t="n">
        <v>0</v>
      </c>
      <c r="K188" t="n">
        <v>0</v>
      </c>
      <c r="L188" t="n">
        <v>0</v>
      </c>
      <c r="M188" t="n">
        <v>0</v>
      </c>
      <c r="N188" t="n">
        <v>0</v>
      </c>
      <c r="O188" t="n">
        <v>0</v>
      </c>
      <c r="P188" t="n">
        <v>0</v>
      </c>
    </row>
    <row r="189">
      <c r="F189" t="inlineStr">
        <is>
          <t>Rogue</t>
        </is>
      </c>
      <c r="G189" t="n">
        <v>8</v>
      </c>
      <c r="H189" t="n">
        <v>0</v>
      </c>
      <c r="I189" t="n">
        <v>0</v>
      </c>
      <c r="J189" t="n">
        <v>0</v>
      </c>
      <c r="K189" t="n">
        <v>0</v>
      </c>
      <c r="L189" t="n">
        <v>0</v>
      </c>
      <c r="M189" t="n">
        <v>0</v>
      </c>
      <c r="N189" t="n">
        <v>0</v>
      </c>
      <c r="O189" t="n">
        <v>0</v>
      </c>
      <c r="P189" t="n">
        <v>0</v>
      </c>
    </row>
    <row r="190">
      <c r="F190" t="inlineStr">
        <is>
          <t>Rogue</t>
        </is>
      </c>
      <c r="G190" t="n">
        <v>9</v>
      </c>
      <c r="H190" t="n">
        <v>0</v>
      </c>
      <c r="I190" t="n">
        <v>0</v>
      </c>
      <c r="J190" t="n">
        <v>0</v>
      </c>
      <c r="K190" t="n">
        <v>0</v>
      </c>
      <c r="L190" t="n">
        <v>0</v>
      </c>
      <c r="M190" t="n">
        <v>0</v>
      </c>
      <c r="N190" t="n">
        <v>0</v>
      </c>
      <c r="O190" t="n">
        <v>0</v>
      </c>
      <c r="P190" t="n">
        <v>0</v>
      </c>
    </row>
    <row r="191">
      <c r="F191" t="inlineStr">
        <is>
          <t>Rogue</t>
        </is>
      </c>
      <c r="G191" t="n">
        <v>10</v>
      </c>
      <c r="H191" t="n">
        <v>0</v>
      </c>
      <c r="I191" t="n">
        <v>0</v>
      </c>
      <c r="J191" t="n">
        <v>0</v>
      </c>
      <c r="K191" t="n">
        <v>0</v>
      </c>
      <c r="L191" t="n">
        <v>0</v>
      </c>
      <c r="M191" t="n">
        <v>0</v>
      </c>
      <c r="N191" t="n">
        <v>0</v>
      </c>
      <c r="O191" t="n">
        <v>0</v>
      </c>
      <c r="P191" t="n">
        <v>0</v>
      </c>
    </row>
    <row r="192">
      <c r="F192" t="inlineStr">
        <is>
          <t>Rogue</t>
        </is>
      </c>
      <c r="G192" t="n">
        <v>11</v>
      </c>
      <c r="H192" t="n">
        <v>0</v>
      </c>
      <c r="I192" t="n">
        <v>0</v>
      </c>
      <c r="J192" t="n">
        <v>0</v>
      </c>
      <c r="K192" t="n">
        <v>0</v>
      </c>
      <c r="L192" t="n">
        <v>0</v>
      </c>
      <c r="M192" t="n">
        <v>0</v>
      </c>
      <c r="N192" t="n">
        <v>0</v>
      </c>
      <c r="O192" t="n">
        <v>0</v>
      </c>
      <c r="P192" t="n">
        <v>0</v>
      </c>
    </row>
    <row r="193">
      <c r="F193" t="inlineStr">
        <is>
          <t>Rogue</t>
        </is>
      </c>
      <c r="G193" t="n">
        <v>12</v>
      </c>
      <c r="H193" t="n">
        <v>0</v>
      </c>
      <c r="I193" t="n">
        <v>0</v>
      </c>
      <c r="J193" t="n">
        <v>0</v>
      </c>
      <c r="K193" t="n">
        <v>0</v>
      </c>
      <c r="L193" t="n">
        <v>0</v>
      </c>
      <c r="M193" t="n">
        <v>0</v>
      </c>
      <c r="N193" t="n">
        <v>0</v>
      </c>
      <c r="O193" t="n">
        <v>0</v>
      </c>
      <c r="P193" t="n">
        <v>0</v>
      </c>
    </row>
    <row r="194">
      <c r="F194" t="inlineStr">
        <is>
          <t>Rogue</t>
        </is>
      </c>
      <c r="G194" t="n">
        <v>13</v>
      </c>
      <c r="H194" t="n">
        <v>0</v>
      </c>
      <c r="I194" t="n">
        <v>0</v>
      </c>
      <c r="J194" t="n">
        <v>0</v>
      </c>
      <c r="K194" t="n">
        <v>0</v>
      </c>
      <c r="L194" t="n">
        <v>0</v>
      </c>
      <c r="M194" t="n">
        <v>0</v>
      </c>
      <c r="N194" t="n">
        <v>0</v>
      </c>
      <c r="O194" t="n">
        <v>0</v>
      </c>
      <c r="P194" t="n">
        <v>0</v>
      </c>
    </row>
    <row r="195">
      <c r="F195" t="inlineStr">
        <is>
          <t>Rogue</t>
        </is>
      </c>
      <c r="G195" t="n">
        <v>14</v>
      </c>
      <c r="H195" t="n">
        <v>0</v>
      </c>
      <c r="I195" t="n">
        <v>0</v>
      </c>
      <c r="J195" t="n">
        <v>0</v>
      </c>
      <c r="K195" t="n">
        <v>0</v>
      </c>
      <c r="L195" t="n">
        <v>0</v>
      </c>
      <c r="M195" t="n">
        <v>0</v>
      </c>
      <c r="N195" t="n">
        <v>0</v>
      </c>
      <c r="O195" t="n">
        <v>0</v>
      </c>
      <c r="P195" t="n">
        <v>0</v>
      </c>
    </row>
    <row r="196">
      <c r="F196" t="inlineStr">
        <is>
          <t>Rogue</t>
        </is>
      </c>
      <c r="G196" t="n">
        <v>15</v>
      </c>
      <c r="H196" t="n">
        <v>0</v>
      </c>
      <c r="I196" t="n">
        <v>0</v>
      </c>
      <c r="J196" t="n">
        <v>0</v>
      </c>
      <c r="K196" t="n">
        <v>0</v>
      </c>
      <c r="L196" t="n">
        <v>0</v>
      </c>
      <c r="M196" t="n">
        <v>0</v>
      </c>
      <c r="N196" t="n">
        <v>0</v>
      </c>
      <c r="O196" t="n">
        <v>0</v>
      </c>
      <c r="P196" t="n">
        <v>0</v>
      </c>
    </row>
    <row r="197">
      <c r="F197" t="inlineStr">
        <is>
          <t>Rogue</t>
        </is>
      </c>
      <c r="G197" t="n">
        <v>16</v>
      </c>
      <c r="H197" t="n">
        <v>0</v>
      </c>
      <c r="I197" t="n">
        <v>0</v>
      </c>
      <c r="J197" t="n">
        <v>0</v>
      </c>
      <c r="K197" t="n">
        <v>0</v>
      </c>
      <c r="L197" t="n">
        <v>0</v>
      </c>
      <c r="M197" t="n">
        <v>0</v>
      </c>
      <c r="N197" t="n">
        <v>0</v>
      </c>
      <c r="O197" t="n">
        <v>0</v>
      </c>
      <c r="P197" t="n">
        <v>0</v>
      </c>
    </row>
    <row r="198">
      <c r="F198" t="inlineStr">
        <is>
          <t>Rogue</t>
        </is>
      </c>
      <c r="G198" t="n">
        <v>17</v>
      </c>
      <c r="H198" t="n">
        <v>0</v>
      </c>
      <c r="I198" t="n">
        <v>0</v>
      </c>
      <c r="J198" t="n">
        <v>0</v>
      </c>
      <c r="K198" t="n">
        <v>0</v>
      </c>
      <c r="L198" t="n">
        <v>0</v>
      </c>
      <c r="M198" t="n">
        <v>0</v>
      </c>
      <c r="N198" t="n">
        <v>0</v>
      </c>
      <c r="O198" t="n">
        <v>0</v>
      </c>
      <c r="P198" t="n">
        <v>0</v>
      </c>
    </row>
    <row r="199">
      <c r="F199" t="inlineStr">
        <is>
          <t>Rogue</t>
        </is>
      </c>
      <c r="G199" t="n">
        <v>18</v>
      </c>
      <c r="H199" t="n">
        <v>0</v>
      </c>
      <c r="I199" t="n">
        <v>0</v>
      </c>
      <c r="J199" t="n">
        <v>0</v>
      </c>
      <c r="K199" t="n">
        <v>0</v>
      </c>
      <c r="L199" t="n">
        <v>0</v>
      </c>
      <c r="M199" t="n">
        <v>0</v>
      </c>
      <c r="N199" t="n">
        <v>0</v>
      </c>
      <c r="O199" t="n">
        <v>0</v>
      </c>
      <c r="P199" t="n">
        <v>0</v>
      </c>
    </row>
    <row r="200">
      <c r="F200" t="inlineStr">
        <is>
          <t>Rogue</t>
        </is>
      </c>
      <c r="G200" t="n">
        <v>19</v>
      </c>
      <c r="H200" t="n">
        <v>0</v>
      </c>
      <c r="I200" t="n">
        <v>0</v>
      </c>
      <c r="J200" t="n">
        <v>0</v>
      </c>
      <c r="K200" t="n">
        <v>0</v>
      </c>
      <c r="L200" t="n">
        <v>0</v>
      </c>
      <c r="M200" t="n">
        <v>0</v>
      </c>
      <c r="N200" t="n">
        <v>0</v>
      </c>
      <c r="O200" t="n">
        <v>0</v>
      </c>
      <c r="P200" t="n">
        <v>0</v>
      </c>
    </row>
    <row r="201">
      <c r="F201" t="inlineStr">
        <is>
          <t>Rogue</t>
        </is>
      </c>
      <c r="G201" t="n">
        <v>20</v>
      </c>
      <c r="H201" t="n">
        <v>0</v>
      </c>
      <c r="I201" t="n">
        <v>0</v>
      </c>
      <c r="J201" t="n">
        <v>0</v>
      </c>
      <c r="K201" t="n">
        <v>0</v>
      </c>
      <c r="L201" t="n">
        <v>0</v>
      </c>
      <c r="M201" t="n">
        <v>0</v>
      </c>
      <c r="N201" t="n">
        <v>0</v>
      </c>
      <c r="O201" t="n">
        <v>0</v>
      </c>
      <c r="P201" t="n">
        <v>0</v>
      </c>
    </row>
    <row r="202">
      <c r="F202" t="inlineStr">
        <is>
          <t>Sorcerer</t>
        </is>
      </c>
      <c r="G202" t="n">
        <v>1</v>
      </c>
      <c r="H202" t="n">
        <v>2</v>
      </c>
      <c r="I202" t="n">
        <v>0</v>
      </c>
      <c r="J202" t="n">
        <v>0</v>
      </c>
      <c r="K202" t="n">
        <v>0</v>
      </c>
      <c r="L202" t="n">
        <v>0</v>
      </c>
      <c r="M202" t="n">
        <v>0</v>
      </c>
      <c r="N202" t="n">
        <v>0</v>
      </c>
      <c r="O202" t="n">
        <v>0</v>
      </c>
      <c r="P202" t="n">
        <v>0</v>
      </c>
    </row>
    <row r="203">
      <c r="F203" t="inlineStr">
        <is>
          <t>Sorcerer</t>
        </is>
      </c>
      <c r="G203" t="n">
        <v>2</v>
      </c>
      <c r="H203" t="n">
        <v>3</v>
      </c>
      <c r="I203" t="n">
        <v>0</v>
      </c>
      <c r="J203" t="n">
        <v>0</v>
      </c>
      <c r="K203" t="n">
        <v>0</v>
      </c>
      <c r="L203" t="n">
        <v>0</v>
      </c>
      <c r="M203" t="n">
        <v>0</v>
      </c>
      <c r="N203" t="n">
        <v>0</v>
      </c>
      <c r="O203" t="n">
        <v>0</v>
      </c>
      <c r="P203" t="n">
        <v>0</v>
      </c>
    </row>
    <row r="204">
      <c r="F204" t="inlineStr">
        <is>
          <t>Sorcerer</t>
        </is>
      </c>
      <c r="G204" t="n">
        <v>3</v>
      </c>
      <c r="H204" t="n">
        <v>4</v>
      </c>
      <c r="I204" t="n">
        <v>2</v>
      </c>
      <c r="J204" t="n">
        <v>0</v>
      </c>
      <c r="K204" t="n">
        <v>0</v>
      </c>
      <c r="L204" t="n">
        <v>0</v>
      </c>
      <c r="M204" t="n">
        <v>0</v>
      </c>
      <c r="N204" t="n">
        <v>0</v>
      </c>
      <c r="O204" t="n">
        <v>0</v>
      </c>
      <c r="P204" t="n">
        <v>0</v>
      </c>
    </row>
    <row r="205">
      <c r="F205" t="inlineStr">
        <is>
          <t>Sorcerer</t>
        </is>
      </c>
      <c r="G205" t="n">
        <v>4</v>
      </c>
      <c r="H205" t="n">
        <v>4</v>
      </c>
      <c r="I205" t="n">
        <v>3</v>
      </c>
      <c r="J205" t="n">
        <v>0</v>
      </c>
      <c r="K205" t="n">
        <v>0</v>
      </c>
      <c r="L205" t="n">
        <v>0</v>
      </c>
      <c r="M205" t="n">
        <v>0</v>
      </c>
      <c r="N205" t="n">
        <v>0</v>
      </c>
      <c r="O205" t="n">
        <v>0</v>
      </c>
      <c r="P205" t="n">
        <v>0</v>
      </c>
    </row>
    <row r="206">
      <c r="F206" t="inlineStr">
        <is>
          <t>Sorcerer</t>
        </is>
      </c>
      <c r="G206" t="n">
        <v>5</v>
      </c>
      <c r="H206" t="n">
        <v>4</v>
      </c>
      <c r="I206" t="n">
        <v>3</v>
      </c>
      <c r="J206" t="n">
        <v>2</v>
      </c>
      <c r="K206" t="n">
        <v>0</v>
      </c>
      <c r="L206" t="n">
        <v>0</v>
      </c>
      <c r="M206" t="n">
        <v>0</v>
      </c>
      <c r="N206" t="n">
        <v>0</v>
      </c>
      <c r="O206" t="n">
        <v>0</v>
      </c>
      <c r="P206" t="n">
        <v>0</v>
      </c>
    </row>
    <row r="207">
      <c r="F207" t="inlineStr">
        <is>
          <t>Sorcerer</t>
        </is>
      </c>
      <c r="G207" t="n">
        <v>6</v>
      </c>
      <c r="H207" t="n">
        <v>4</v>
      </c>
      <c r="I207" t="n">
        <v>3</v>
      </c>
      <c r="J207" t="n">
        <v>3</v>
      </c>
      <c r="K207" t="n">
        <v>0</v>
      </c>
      <c r="L207" t="n">
        <v>0</v>
      </c>
      <c r="M207" t="n">
        <v>0</v>
      </c>
      <c r="N207" t="n">
        <v>0</v>
      </c>
      <c r="O207" t="n">
        <v>0</v>
      </c>
      <c r="P207" t="n">
        <v>0</v>
      </c>
    </row>
    <row r="208">
      <c r="F208" t="inlineStr">
        <is>
          <t>Sorcerer</t>
        </is>
      </c>
      <c r="G208" t="n">
        <v>7</v>
      </c>
      <c r="H208" t="n">
        <v>4</v>
      </c>
      <c r="I208" t="n">
        <v>3</v>
      </c>
      <c r="J208" t="n">
        <v>3</v>
      </c>
      <c r="K208" t="n">
        <v>1</v>
      </c>
      <c r="L208" t="n">
        <v>0</v>
      </c>
      <c r="M208" t="n">
        <v>0</v>
      </c>
      <c r="N208" t="n">
        <v>0</v>
      </c>
      <c r="O208" t="n">
        <v>0</v>
      </c>
      <c r="P208" t="n">
        <v>0</v>
      </c>
    </row>
    <row r="209">
      <c r="F209" t="inlineStr">
        <is>
          <t>Sorcerer</t>
        </is>
      </c>
      <c r="G209" t="n">
        <v>8</v>
      </c>
      <c r="H209" t="n">
        <v>4</v>
      </c>
      <c r="I209" t="n">
        <v>3</v>
      </c>
      <c r="J209" t="n">
        <v>3</v>
      </c>
      <c r="K209" t="n">
        <v>2</v>
      </c>
      <c r="L209" t="n">
        <v>0</v>
      </c>
      <c r="M209" t="n">
        <v>0</v>
      </c>
      <c r="N209" t="n">
        <v>0</v>
      </c>
      <c r="O209" t="n">
        <v>0</v>
      </c>
      <c r="P209" t="n">
        <v>0</v>
      </c>
    </row>
    <row r="210">
      <c r="F210" t="inlineStr">
        <is>
          <t>Sorcerer</t>
        </is>
      </c>
      <c r="G210" t="n">
        <v>9</v>
      </c>
      <c r="H210" t="n">
        <v>4</v>
      </c>
      <c r="I210" t="n">
        <v>3</v>
      </c>
      <c r="J210" t="n">
        <v>3</v>
      </c>
      <c r="K210" t="n">
        <v>3</v>
      </c>
      <c r="L210" t="n">
        <v>1</v>
      </c>
      <c r="M210" t="n">
        <v>0</v>
      </c>
      <c r="N210" t="n">
        <v>0</v>
      </c>
      <c r="O210" t="n">
        <v>0</v>
      </c>
      <c r="P210" t="n">
        <v>0</v>
      </c>
    </row>
    <row r="211">
      <c r="F211" t="inlineStr">
        <is>
          <t>Sorcerer</t>
        </is>
      </c>
      <c r="G211" t="n">
        <v>10</v>
      </c>
      <c r="H211" t="n">
        <v>4</v>
      </c>
      <c r="I211" t="n">
        <v>3</v>
      </c>
      <c r="J211" t="n">
        <v>3</v>
      </c>
      <c r="K211" t="n">
        <v>3</v>
      </c>
      <c r="L211" t="n">
        <v>2</v>
      </c>
      <c r="M211" t="n">
        <v>0</v>
      </c>
      <c r="N211" t="n">
        <v>0</v>
      </c>
      <c r="O211" t="n">
        <v>0</v>
      </c>
      <c r="P211" t="n">
        <v>0</v>
      </c>
    </row>
    <row r="212">
      <c r="F212" t="inlineStr">
        <is>
          <t>Sorcerer</t>
        </is>
      </c>
      <c r="G212" t="n">
        <v>11</v>
      </c>
      <c r="H212" t="n">
        <v>4</v>
      </c>
      <c r="I212" t="n">
        <v>3</v>
      </c>
      <c r="J212" t="n">
        <v>3</v>
      </c>
      <c r="K212" t="n">
        <v>3</v>
      </c>
      <c r="L212" t="n">
        <v>2</v>
      </c>
      <c r="M212" t="n">
        <v>1</v>
      </c>
      <c r="N212" t="n">
        <v>0</v>
      </c>
      <c r="O212" t="n">
        <v>0</v>
      </c>
      <c r="P212" t="n">
        <v>0</v>
      </c>
    </row>
    <row r="213">
      <c r="F213" t="inlineStr">
        <is>
          <t>Sorcerer</t>
        </is>
      </c>
      <c r="G213" t="n">
        <v>12</v>
      </c>
      <c r="H213" t="n">
        <v>4</v>
      </c>
      <c r="I213" t="n">
        <v>3</v>
      </c>
      <c r="J213" t="n">
        <v>3</v>
      </c>
      <c r="K213" t="n">
        <v>3</v>
      </c>
      <c r="L213" t="n">
        <v>2</v>
      </c>
      <c r="M213" t="n">
        <v>1</v>
      </c>
      <c r="N213" t="n">
        <v>0</v>
      </c>
      <c r="O213" t="n">
        <v>0</v>
      </c>
      <c r="P213" t="n">
        <v>0</v>
      </c>
    </row>
    <row r="214">
      <c r="F214" t="inlineStr">
        <is>
          <t>Sorcerer</t>
        </is>
      </c>
      <c r="G214" t="n">
        <v>13</v>
      </c>
      <c r="H214" t="n">
        <v>4</v>
      </c>
      <c r="I214" t="n">
        <v>3</v>
      </c>
      <c r="J214" t="n">
        <v>3</v>
      </c>
      <c r="K214" t="n">
        <v>3</v>
      </c>
      <c r="L214" t="n">
        <v>2</v>
      </c>
      <c r="M214" t="n">
        <v>1</v>
      </c>
      <c r="N214" t="n">
        <v>1</v>
      </c>
      <c r="O214" t="n">
        <v>0</v>
      </c>
      <c r="P214" t="n">
        <v>0</v>
      </c>
    </row>
    <row r="215">
      <c r="F215" t="inlineStr">
        <is>
          <t>Sorcerer</t>
        </is>
      </c>
      <c r="G215" t="n">
        <v>14</v>
      </c>
      <c r="H215" t="n">
        <v>4</v>
      </c>
      <c r="I215" t="n">
        <v>3</v>
      </c>
      <c r="J215" t="n">
        <v>3</v>
      </c>
      <c r="K215" t="n">
        <v>3</v>
      </c>
      <c r="L215" t="n">
        <v>2</v>
      </c>
      <c r="M215" t="n">
        <v>1</v>
      </c>
      <c r="N215" t="n">
        <v>1</v>
      </c>
      <c r="O215" t="n">
        <v>0</v>
      </c>
      <c r="P215" t="n">
        <v>0</v>
      </c>
    </row>
    <row r="216">
      <c r="F216" t="inlineStr">
        <is>
          <t>Sorcerer</t>
        </is>
      </c>
      <c r="G216" t="n">
        <v>15</v>
      </c>
      <c r="H216" t="n">
        <v>4</v>
      </c>
      <c r="I216" t="n">
        <v>3</v>
      </c>
      <c r="J216" t="n">
        <v>3</v>
      </c>
      <c r="K216" t="n">
        <v>3</v>
      </c>
      <c r="L216" t="n">
        <v>2</v>
      </c>
      <c r="M216" t="n">
        <v>1</v>
      </c>
      <c r="N216" t="n">
        <v>1</v>
      </c>
      <c r="O216" t="n">
        <v>1</v>
      </c>
      <c r="P216" t="n">
        <v>0</v>
      </c>
    </row>
    <row r="217">
      <c r="F217" t="inlineStr">
        <is>
          <t>Sorcerer</t>
        </is>
      </c>
      <c r="G217" t="n">
        <v>16</v>
      </c>
      <c r="H217" t="n">
        <v>4</v>
      </c>
      <c r="I217" t="n">
        <v>3</v>
      </c>
      <c r="J217" t="n">
        <v>3</v>
      </c>
      <c r="K217" t="n">
        <v>3</v>
      </c>
      <c r="L217" t="n">
        <v>2</v>
      </c>
      <c r="M217" t="n">
        <v>1</v>
      </c>
      <c r="N217" t="n">
        <v>1</v>
      </c>
      <c r="O217" t="n">
        <v>1</v>
      </c>
      <c r="P217" t="n">
        <v>0</v>
      </c>
    </row>
    <row r="218">
      <c r="F218" t="inlineStr">
        <is>
          <t>Sorcerer</t>
        </is>
      </c>
      <c r="G218" t="n">
        <v>17</v>
      </c>
      <c r="H218" t="n">
        <v>4</v>
      </c>
      <c r="I218" t="n">
        <v>3</v>
      </c>
      <c r="J218" t="n">
        <v>3</v>
      </c>
      <c r="K218" t="n">
        <v>3</v>
      </c>
      <c r="L218" t="n">
        <v>2</v>
      </c>
      <c r="M218" t="n">
        <v>1</v>
      </c>
      <c r="N218" t="n">
        <v>1</v>
      </c>
      <c r="O218" t="n">
        <v>1</v>
      </c>
      <c r="P218" t="n">
        <v>1</v>
      </c>
    </row>
    <row r="219">
      <c r="F219" t="inlineStr">
        <is>
          <t>Sorcerer</t>
        </is>
      </c>
      <c r="G219" t="n">
        <v>18</v>
      </c>
      <c r="H219" t="n">
        <v>4</v>
      </c>
      <c r="I219" t="n">
        <v>3</v>
      </c>
      <c r="J219" t="n">
        <v>3</v>
      </c>
      <c r="K219" t="n">
        <v>3</v>
      </c>
      <c r="L219" t="n">
        <v>3</v>
      </c>
      <c r="M219" t="n">
        <v>1</v>
      </c>
      <c r="N219" t="n">
        <v>1</v>
      </c>
      <c r="O219" t="n">
        <v>1</v>
      </c>
      <c r="P219" t="n">
        <v>1</v>
      </c>
    </row>
    <row r="220">
      <c r="F220" t="inlineStr">
        <is>
          <t>Sorcerer</t>
        </is>
      </c>
      <c r="G220" t="n">
        <v>19</v>
      </c>
      <c r="H220" t="n">
        <v>4</v>
      </c>
      <c r="I220" t="n">
        <v>3</v>
      </c>
      <c r="J220" t="n">
        <v>3</v>
      </c>
      <c r="K220" t="n">
        <v>3</v>
      </c>
      <c r="L220" t="n">
        <v>3</v>
      </c>
      <c r="M220" t="n">
        <v>2</v>
      </c>
      <c r="N220" t="n">
        <v>1</v>
      </c>
      <c r="O220" t="n">
        <v>1</v>
      </c>
      <c r="P220" t="n">
        <v>1</v>
      </c>
    </row>
    <row r="221">
      <c r="F221" t="inlineStr">
        <is>
          <t>Sorcerer</t>
        </is>
      </c>
      <c r="G221" t="n">
        <v>20</v>
      </c>
      <c r="H221" t="n">
        <v>4</v>
      </c>
      <c r="I221" t="n">
        <v>3</v>
      </c>
      <c r="J221" t="n">
        <v>3</v>
      </c>
      <c r="K221" t="n">
        <v>3</v>
      </c>
      <c r="L221" t="n">
        <v>3</v>
      </c>
      <c r="M221" t="n">
        <v>2</v>
      </c>
      <c r="N221" t="n">
        <v>2</v>
      </c>
      <c r="O221" t="n">
        <v>1</v>
      </c>
      <c r="P221" t="n">
        <v>1</v>
      </c>
    </row>
    <row r="222">
      <c r="F222" t="inlineStr">
        <is>
          <t>Warlock</t>
        </is>
      </c>
      <c r="G222" t="n">
        <v>1</v>
      </c>
      <c r="H222" t="n">
        <v>1</v>
      </c>
      <c r="I222" t="n">
        <v>0</v>
      </c>
      <c r="J222" t="n">
        <v>0</v>
      </c>
      <c r="K222" t="n">
        <v>0</v>
      </c>
      <c r="L222" t="n">
        <v>0</v>
      </c>
      <c r="M222" t="n">
        <v>0</v>
      </c>
      <c r="N222" t="n">
        <v>0</v>
      </c>
      <c r="O222" t="n">
        <v>0</v>
      </c>
      <c r="P222" t="n">
        <v>0</v>
      </c>
    </row>
    <row r="223">
      <c r="F223" t="inlineStr">
        <is>
          <t>Warlock</t>
        </is>
      </c>
      <c r="G223" t="n">
        <v>2</v>
      </c>
      <c r="H223" t="n">
        <v>2</v>
      </c>
      <c r="I223" t="n">
        <v>0</v>
      </c>
      <c r="J223" t="n">
        <v>0</v>
      </c>
      <c r="K223" t="n">
        <v>0</v>
      </c>
      <c r="L223" t="n">
        <v>0</v>
      </c>
      <c r="M223" t="n">
        <v>0</v>
      </c>
      <c r="N223" t="n">
        <v>0</v>
      </c>
      <c r="O223" t="n">
        <v>0</v>
      </c>
      <c r="P223" t="n">
        <v>0</v>
      </c>
    </row>
    <row r="224">
      <c r="F224" t="inlineStr">
        <is>
          <t>Warlock</t>
        </is>
      </c>
      <c r="G224" t="n">
        <v>3</v>
      </c>
      <c r="H224" t="n">
        <v>0</v>
      </c>
      <c r="I224" t="n">
        <v>2</v>
      </c>
      <c r="J224" t="n">
        <v>0</v>
      </c>
      <c r="K224" t="n">
        <v>0</v>
      </c>
      <c r="L224" t="n">
        <v>0</v>
      </c>
      <c r="M224" t="n">
        <v>0</v>
      </c>
      <c r="N224" t="n">
        <v>0</v>
      </c>
      <c r="O224" t="n">
        <v>0</v>
      </c>
      <c r="P224" t="n">
        <v>0</v>
      </c>
    </row>
    <row r="225">
      <c r="F225" t="inlineStr">
        <is>
          <t>Warlock</t>
        </is>
      </c>
      <c r="G225" t="n">
        <v>4</v>
      </c>
      <c r="H225" t="n">
        <v>0</v>
      </c>
      <c r="I225" t="n">
        <v>2</v>
      </c>
      <c r="J225" t="n">
        <v>0</v>
      </c>
      <c r="K225" t="n">
        <v>0</v>
      </c>
      <c r="L225" t="n">
        <v>0</v>
      </c>
      <c r="M225" t="n">
        <v>0</v>
      </c>
      <c r="N225" t="n">
        <v>0</v>
      </c>
      <c r="O225" t="n">
        <v>0</v>
      </c>
      <c r="P225" t="n">
        <v>0</v>
      </c>
    </row>
    <row r="226">
      <c r="F226" t="inlineStr">
        <is>
          <t>Warlock</t>
        </is>
      </c>
      <c r="G226" t="n">
        <v>5</v>
      </c>
      <c r="H226" t="n">
        <v>0</v>
      </c>
      <c r="I226" t="n">
        <v>0</v>
      </c>
      <c r="J226" t="n">
        <v>2</v>
      </c>
      <c r="K226" t="n">
        <v>0</v>
      </c>
      <c r="L226" t="n">
        <v>0</v>
      </c>
      <c r="M226" t="n">
        <v>0</v>
      </c>
      <c r="N226" t="n">
        <v>0</v>
      </c>
      <c r="O226" t="n">
        <v>0</v>
      </c>
      <c r="P226" t="n">
        <v>0</v>
      </c>
    </row>
    <row r="227">
      <c r="F227" t="inlineStr">
        <is>
          <t>Warlock</t>
        </is>
      </c>
      <c r="G227" t="n">
        <v>6</v>
      </c>
      <c r="H227" t="n">
        <v>0</v>
      </c>
      <c r="I227" t="n">
        <v>0</v>
      </c>
      <c r="J227" t="n">
        <v>2</v>
      </c>
      <c r="K227" t="n">
        <v>0</v>
      </c>
      <c r="L227" t="n">
        <v>0</v>
      </c>
      <c r="M227" t="n">
        <v>0</v>
      </c>
      <c r="N227" t="n">
        <v>0</v>
      </c>
      <c r="O227" t="n">
        <v>0</v>
      </c>
      <c r="P227" t="n">
        <v>0</v>
      </c>
    </row>
    <row r="228">
      <c r="F228" t="inlineStr">
        <is>
          <t>Warlock</t>
        </is>
      </c>
      <c r="G228" t="n">
        <v>7</v>
      </c>
      <c r="H228" t="n">
        <v>0</v>
      </c>
      <c r="I228" t="n">
        <v>0</v>
      </c>
      <c r="J228" t="n">
        <v>0</v>
      </c>
      <c r="K228" t="n">
        <v>2</v>
      </c>
      <c r="L228" t="n">
        <v>0</v>
      </c>
      <c r="M228" t="n">
        <v>0</v>
      </c>
      <c r="N228" t="n">
        <v>0</v>
      </c>
      <c r="O228" t="n">
        <v>0</v>
      </c>
      <c r="P228" t="n">
        <v>0</v>
      </c>
    </row>
    <row r="229">
      <c r="F229" t="inlineStr">
        <is>
          <t>Warlock</t>
        </is>
      </c>
      <c r="G229" t="n">
        <v>8</v>
      </c>
      <c r="H229" t="n">
        <v>0</v>
      </c>
      <c r="I229" t="n">
        <v>0</v>
      </c>
      <c r="J229" t="n">
        <v>0</v>
      </c>
      <c r="K229" t="n">
        <v>2</v>
      </c>
      <c r="L229" t="n">
        <v>0</v>
      </c>
      <c r="M229" t="n">
        <v>0</v>
      </c>
      <c r="N229" t="n">
        <v>0</v>
      </c>
      <c r="O229" t="n">
        <v>0</v>
      </c>
      <c r="P229" t="n">
        <v>0</v>
      </c>
    </row>
    <row r="230">
      <c r="F230" t="inlineStr">
        <is>
          <t>Warlock</t>
        </is>
      </c>
      <c r="G230" t="n">
        <v>9</v>
      </c>
      <c r="H230" t="n">
        <v>0</v>
      </c>
      <c r="I230" t="n">
        <v>0</v>
      </c>
      <c r="J230" t="n">
        <v>0</v>
      </c>
      <c r="K230" t="n">
        <v>0</v>
      </c>
      <c r="L230" t="n">
        <v>2</v>
      </c>
      <c r="M230" t="n">
        <v>0</v>
      </c>
      <c r="N230" t="n">
        <v>0</v>
      </c>
      <c r="O230" t="n">
        <v>0</v>
      </c>
      <c r="P230" t="n">
        <v>0</v>
      </c>
    </row>
    <row r="231">
      <c r="F231" t="inlineStr">
        <is>
          <t>Warlock</t>
        </is>
      </c>
      <c r="G231" t="n">
        <v>10</v>
      </c>
      <c r="H231" t="n">
        <v>0</v>
      </c>
      <c r="I231" t="n">
        <v>0</v>
      </c>
      <c r="J231" t="n">
        <v>0</v>
      </c>
      <c r="K231" t="n">
        <v>0</v>
      </c>
      <c r="L231" t="n">
        <v>2</v>
      </c>
      <c r="M231" t="n">
        <v>0</v>
      </c>
      <c r="N231" t="n">
        <v>0</v>
      </c>
      <c r="O231" t="n">
        <v>0</v>
      </c>
      <c r="P231" t="n">
        <v>0</v>
      </c>
    </row>
    <row r="232">
      <c r="F232" t="inlineStr">
        <is>
          <t>Warlock</t>
        </is>
      </c>
      <c r="G232" t="n">
        <v>11</v>
      </c>
      <c r="H232" t="n">
        <v>0</v>
      </c>
      <c r="I232" t="n">
        <v>0</v>
      </c>
      <c r="J232" t="n">
        <v>0</v>
      </c>
      <c r="K232" t="n">
        <v>0</v>
      </c>
      <c r="L232" t="n">
        <v>3</v>
      </c>
      <c r="M232" t="n">
        <v>0</v>
      </c>
      <c r="N232" t="n">
        <v>0</v>
      </c>
      <c r="O232" t="n">
        <v>0</v>
      </c>
      <c r="P232" t="n">
        <v>0</v>
      </c>
    </row>
    <row r="233">
      <c r="F233" t="inlineStr">
        <is>
          <t>Warlock</t>
        </is>
      </c>
      <c r="G233" t="n">
        <v>12</v>
      </c>
      <c r="H233" t="n">
        <v>0</v>
      </c>
      <c r="I233" t="n">
        <v>0</v>
      </c>
      <c r="J233" t="n">
        <v>0</v>
      </c>
      <c r="K233" t="n">
        <v>0</v>
      </c>
      <c r="L233" t="n">
        <v>3</v>
      </c>
      <c r="M233" t="n">
        <v>0</v>
      </c>
      <c r="N233" t="n">
        <v>0</v>
      </c>
      <c r="O233" t="n">
        <v>0</v>
      </c>
      <c r="P233" t="n">
        <v>0</v>
      </c>
    </row>
    <row r="234">
      <c r="F234" t="inlineStr">
        <is>
          <t>Warlock</t>
        </is>
      </c>
      <c r="G234" t="n">
        <v>13</v>
      </c>
      <c r="H234" t="n">
        <v>0</v>
      </c>
      <c r="I234" t="n">
        <v>0</v>
      </c>
      <c r="J234" t="n">
        <v>0</v>
      </c>
      <c r="K234" t="n">
        <v>0</v>
      </c>
      <c r="L234" t="n">
        <v>3</v>
      </c>
      <c r="M234" t="n">
        <v>0</v>
      </c>
      <c r="N234" t="n">
        <v>0</v>
      </c>
      <c r="O234" t="n">
        <v>0</v>
      </c>
      <c r="P234" t="n">
        <v>0</v>
      </c>
    </row>
    <row r="235">
      <c r="F235" t="inlineStr">
        <is>
          <t>Warlock</t>
        </is>
      </c>
      <c r="G235" t="n">
        <v>14</v>
      </c>
      <c r="H235" t="n">
        <v>0</v>
      </c>
      <c r="I235" t="n">
        <v>0</v>
      </c>
      <c r="J235" t="n">
        <v>0</v>
      </c>
      <c r="K235" t="n">
        <v>0</v>
      </c>
      <c r="L235" t="n">
        <v>3</v>
      </c>
      <c r="M235" t="n">
        <v>0</v>
      </c>
      <c r="N235" t="n">
        <v>0</v>
      </c>
      <c r="O235" t="n">
        <v>0</v>
      </c>
      <c r="P235" t="n">
        <v>0</v>
      </c>
    </row>
    <row r="236">
      <c r="F236" t="inlineStr">
        <is>
          <t>Warlock</t>
        </is>
      </c>
      <c r="G236" t="n">
        <v>15</v>
      </c>
      <c r="H236" t="n">
        <v>0</v>
      </c>
      <c r="I236" t="n">
        <v>0</v>
      </c>
      <c r="J236" t="n">
        <v>0</v>
      </c>
      <c r="K236" t="n">
        <v>0</v>
      </c>
      <c r="L236" t="n">
        <v>3</v>
      </c>
      <c r="M236" t="n">
        <v>0</v>
      </c>
      <c r="N236" t="n">
        <v>0</v>
      </c>
      <c r="O236" t="n">
        <v>0</v>
      </c>
      <c r="P236" t="n">
        <v>0</v>
      </c>
    </row>
    <row r="237">
      <c r="F237" t="inlineStr">
        <is>
          <t>Warlock</t>
        </is>
      </c>
      <c r="G237" t="n">
        <v>16</v>
      </c>
      <c r="H237" t="n">
        <v>0</v>
      </c>
      <c r="I237" t="n">
        <v>0</v>
      </c>
      <c r="J237" t="n">
        <v>0</v>
      </c>
      <c r="K237" t="n">
        <v>0</v>
      </c>
      <c r="L237" t="n">
        <v>3</v>
      </c>
      <c r="M237" t="n">
        <v>0</v>
      </c>
      <c r="N237" t="n">
        <v>0</v>
      </c>
      <c r="O237" t="n">
        <v>0</v>
      </c>
      <c r="P237" t="n">
        <v>0</v>
      </c>
    </row>
    <row r="238">
      <c r="F238" t="inlineStr">
        <is>
          <t>Warlock</t>
        </is>
      </c>
      <c r="G238" t="n">
        <v>17</v>
      </c>
      <c r="H238" t="n">
        <v>0</v>
      </c>
      <c r="I238" t="n">
        <v>0</v>
      </c>
      <c r="J238" t="n">
        <v>0</v>
      </c>
      <c r="K238" t="n">
        <v>0</v>
      </c>
      <c r="L238" t="n">
        <v>4</v>
      </c>
      <c r="M238" t="n">
        <v>0</v>
      </c>
      <c r="N238" t="n">
        <v>0</v>
      </c>
      <c r="O238" t="n">
        <v>0</v>
      </c>
      <c r="P238" t="n">
        <v>0</v>
      </c>
    </row>
    <row r="239">
      <c r="F239" t="inlineStr">
        <is>
          <t>Warlock</t>
        </is>
      </c>
      <c r="G239" t="n">
        <v>18</v>
      </c>
      <c r="H239" t="n">
        <v>0</v>
      </c>
      <c r="I239" t="n">
        <v>0</v>
      </c>
      <c r="J239" t="n">
        <v>0</v>
      </c>
      <c r="K239" t="n">
        <v>0</v>
      </c>
      <c r="L239" t="n">
        <v>4</v>
      </c>
      <c r="M239" t="n">
        <v>0</v>
      </c>
      <c r="N239" t="n">
        <v>0</v>
      </c>
      <c r="O239" t="n">
        <v>0</v>
      </c>
      <c r="P239" t="n">
        <v>0</v>
      </c>
    </row>
    <row r="240">
      <c r="F240" t="inlineStr">
        <is>
          <t>Warlock</t>
        </is>
      </c>
      <c r="G240" t="n">
        <v>19</v>
      </c>
      <c r="H240" t="n">
        <v>0</v>
      </c>
      <c r="I240" t="n">
        <v>0</v>
      </c>
      <c r="J240" t="n">
        <v>0</v>
      </c>
      <c r="K240" t="n">
        <v>0</v>
      </c>
      <c r="L240" t="n">
        <v>4</v>
      </c>
      <c r="M240" t="n">
        <v>0</v>
      </c>
      <c r="N240" t="n">
        <v>0</v>
      </c>
      <c r="O240" t="n">
        <v>0</v>
      </c>
      <c r="P240" t="n">
        <v>0</v>
      </c>
    </row>
    <row r="241">
      <c r="F241" t="inlineStr">
        <is>
          <t>Warlock</t>
        </is>
      </c>
      <c r="G241" t="n">
        <v>20</v>
      </c>
      <c r="H241" t="n">
        <v>0</v>
      </c>
      <c r="I241" t="n">
        <v>0</v>
      </c>
      <c r="J241" t="n">
        <v>0</v>
      </c>
      <c r="K241" t="n">
        <v>0</v>
      </c>
      <c r="L241" t="n">
        <v>4</v>
      </c>
      <c r="M241" t="n">
        <v>0</v>
      </c>
      <c r="N241" t="n">
        <v>0</v>
      </c>
      <c r="O241" t="n">
        <v>0</v>
      </c>
      <c r="P241" t="n">
        <v>0</v>
      </c>
    </row>
    <row r="242">
      <c r="F242" t="inlineStr">
        <is>
          <t>Wizard</t>
        </is>
      </c>
      <c r="G242" t="n">
        <v>1</v>
      </c>
      <c r="H242" t="n">
        <v>2</v>
      </c>
      <c r="I242" t="n">
        <v>0</v>
      </c>
      <c r="J242" t="n">
        <v>0</v>
      </c>
      <c r="K242" t="n">
        <v>0</v>
      </c>
      <c r="L242" t="n">
        <v>0</v>
      </c>
      <c r="M242" t="n">
        <v>0</v>
      </c>
      <c r="N242" t="n">
        <v>0</v>
      </c>
      <c r="O242" t="n">
        <v>0</v>
      </c>
      <c r="P242" t="n">
        <v>0</v>
      </c>
    </row>
    <row r="243">
      <c r="F243" t="inlineStr">
        <is>
          <t>Wizard</t>
        </is>
      </c>
      <c r="G243" t="n">
        <v>2</v>
      </c>
      <c r="H243" t="n">
        <v>3</v>
      </c>
      <c r="I243" t="n">
        <v>0</v>
      </c>
      <c r="J243" t="n">
        <v>0</v>
      </c>
      <c r="K243" t="n">
        <v>0</v>
      </c>
      <c r="L243" t="n">
        <v>0</v>
      </c>
      <c r="M243" t="n">
        <v>0</v>
      </c>
      <c r="N243" t="n">
        <v>0</v>
      </c>
      <c r="O243" t="n">
        <v>0</v>
      </c>
      <c r="P243" t="n">
        <v>0</v>
      </c>
    </row>
    <row r="244">
      <c r="F244" t="inlineStr">
        <is>
          <t>Wizard</t>
        </is>
      </c>
      <c r="G244" t="n">
        <v>3</v>
      </c>
      <c r="H244" t="n">
        <v>4</v>
      </c>
      <c r="I244" t="n">
        <v>2</v>
      </c>
      <c r="J244" t="n">
        <v>0</v>
      </c>
      <c r="K244" t="n">
        <v>0</v>
      </c>
      <c r="L244" t="n">
        <v>0</v>
      </c>
      <c r="M244" t="n">
        <v>0</v>
      </c>
      <c r="N244" t="n">
        <v>0</v>
      </c>
      <c r="O244" t="n">
        <v>0</v>
      </c>
      <c r="P244" t="n">
        <v>0</v>
      </c>
    </row>
    <row r="245">
      <c r="F245" t="inlineStr">
        <is>
          <t>Wizard</t>
        </is>
      </c>
      <c r="G245" t="n">
        <v>4</v>
      </c>
      <c r="H245" t="n">
        <v>4</v>
      </c>
      <c r="I245" t="n">
        <v>3</v>
      </c>
      <c r="J245" t="n">
        <v>0</v>
      </c>
      <c r="K245" t="n">
        <v>0</v>
      </c>
      <c r="L245" t="n">
        <v>0</v>
      </c>
      <c r="M245" t="n">
        <v>0</v>
      </c>
      <c r="N245" t="n">
        <v>0</v>
      </c>
      <c r="O245" t="n">
        <v>0</v>
      </c>
      <c r="P245" t="n">
        <v>0</v>
      </c>
    </row>
    <row r="246">
      <c r="F246" t="inlineStr">
        <is>
          <t>Wizard</t>
        </is>
      </c>
      <c r="G246" t="n">
        <v>5</v>
      </c>
      <c r="H246" t="n">
        <v>4</v>
      </c>
      <c r="I246" t="n">
        <v>3</v>
      </c>
      <c r="J246" t="n">
        <v>2</v>
      </c>
      <c r="K246" t="n">
        <v>0</v>
      </c>
      <c r="L246" t="n">
        <v>0</v>
      </c>
      <c r="M246" t="n">
        <v>0</v>
      </c>
      <c r="N246" t="n">
        <v>0</v>
      </c>
      <c r="O246" t="n">
        <v>0</v>
      </c>
      <c r="P246" t="n">
        <v>0</v>
      </c>
    </row>
    <row r="247">
      <c r="F247" t="inlineStr">
        <is>
          <t>Wizard</t>
        </is>
      </c>
      <c r="G247" t="n">
        <v>6</v>
      </c>
      <c r="H247" t="n">
        <v>4</v>
      </c>
      <c r="I247" t="n">
        <v>3</v>
      </c>
      <c r="J247" t="n">
        <v>3</v>
      </c>
      <c r="K247" t="n">
        <v>0</v>
      </c>
      <c r="L247" t="n">
        <v>0</v>
      </c>
      <c r="M247" t="n">
        <v>0</v>
      </c>
      <c r="N247" t="n">
        <v>0</v>
      </c>
      <c r="O247" t="n">
        <v>0</v>
      </c>
      <c r="P247" t="n">
        <v>0</v>
      </c>
    </row>
    <row r="248">
      <c r="F248" t="inlineStr">
        <is>
          <t>Wizard</t>
        </is>
      </c>
      <c r="G248" t="n">
        <v>7</v>
      </c>
      <c r="H248" t="n">
        <v>4</v>
      </c>
      <c r="I248" t="n">
        <v>3</v>
      </c>
      <c r="J248" t="n">
        <v>3</v>
      </c>
      <c r="K248" t="n">
        <v>1</v>
      </c>
      <c r="L248" t="n">
        <v>0</v>
      </c>
      <c r="M248" t="n">
        <v>0</v>
      </c>
      <c r="N248" t="n">
        <v>0</v>
      </c>
      <c r="O248" t="n">
        <v>0</v>
      </c>
      <c r="P248" t="n">
        <v>0</v>
      </c>
    </row>
    <row r="249">
      <c r="F249" t="inlineStr">
        <is>
          <t>Wizard</t>
        </is>
      </c>
      <c r="G249" t="n">
        <v>8</v>
      </c>
      <c r="H249" t="n">
        <v>4</v>
      </c>
      <c r="I249" t="n">
        <v>3</v>
      </c>
      <c r="J249" t="n">
        <v>3</v>
      </c>
      <c r="K249" t="n">
        <v>2</v>
      </c>
      <c r="L249" t="n">
        <v>0</v>
      </c>
      <c r="M249" t="n">
        <v>0</v>
      </c>
      <c r="N249" t="n">
        <v>0</v>
      </c>
      <c r="O249" t="n">
        <v>0</v>
      </c>
      <c r="P249" t="n">
        <v>0</v>
      </c>
    </row>
    <row r="250">
      <c r="F250" t="inlineStr">
        <is>
          <t>Wizard</t>
        </is>
      </c>
      <c r="G250" t="n">
        <v>9</v>
      </c>
      <c r="H250" t="n">
        <v>4</v>
      </c>
      <c r="I250" t="n">
        <v>3</v>
      </c>
      <c r="J250" t="n">
        <v>3</v>
      </c>
      <c r="K250" t="n">
        <v>3</v>
      </c>
      <c r="L250" t="n">
        <v>1</v>
      </c>
      <c r="M250" t="n">
        <v>0</v>
      </c>
      <c r="N250" t="n">
        <v>0</v>
      </c>
      <c r="O250" t="n">
        <v>0</v>
      </c>
      <c r="P250" t="n">
        <v>0</v>
      </c>
    </row>
    <row r="251">
      <c r="F251" t="inlineStr">
        <is>
          <t>Wizard</t>
        </is>
      </c>
      <c r="G251" t="n">
        <v>10</v>
      </c>
      <c r="H251" t="n">
        <v>4</v>
      </c>
      <c r="I251" t="n">
        <v>3</v>
      </c>
      <c r="J251" t="n">
        <v>3</v>
      </c>
      <c r="K251" t="n">
        <v>3</v>
      </c>
      <c r="L251" t="n">
        <v>2</v>
      </c>
      <c r="M251" t="n">
        <v>0</v>
      </c>
      <c r="N251" t="n">
        <v>0</v>
      </c>
      <c r="O251" t="n">
        <v>0</v>
      </c>
      <c r="P251" t="n">
        <v>0</v>
      </c>
    </row>
    <row r="252">
      <c r="F252" t="inlineStr">
        <is>
          <t>Wizard</t>
        </is>
      </c>
      <c r="G252" t="n">
        <v>11</v>
      </c>
      <c r="H252" t="n">
        <v>4</v>
      </c>
      <c r="I252" t="n">
        <v>3</v>
      </c>
      <c r="J252" t="n">
        <v>3</v>
      </c>
      <c r="K252" t="n">
        <v>3</v>
      </c>
      <c r="L252" t="n">
        <v>2</v>
      </c>
      <c r="M252" t="n">
        <v>1</v>
      </c>
      <c r="N252" t="n">
        <v>0</v>
      </c>
      <c r="O252" t="n">
        <v>0</v>
      </c>
      <c r="P252" t="n">
        <v>0</v>
      </c>
    </row>
    <row r="253">
      <c r="F253" t="inlineStr">
        <is>
          <t>Wizard</t>
        </is>
      </c>
      <c r="G253" t="n">
        <v>12</v>
      </c>
      <c r="H253" t="n">
        <v>4</v>
      </c>
      <c r="I253" t="n">
        <v>3</v>
      </c>
      <c r="J253" t="n">
        <v>3</v>
      </c>
      <c r="K253" t="n">
        <v>3</v>
      </c>
      <c r="L253" t="n">
        <v>2</v>
      </c>
      <c r="M253" t="n">
        <v>1</v>
      </c>
      <c r="N253" t="n">
        <v>0</v>
      </c>
      <c r="O253" t="n">
        <v>0</v>
      </c>
      <c r="P253" t="n">
        <v>0</v>
      </c>
    </row>
    <row r="254">
      <c r="F254" t="inlineStr">
        <is>
          <t>Wizard</t>
        </is>
      </c>
      <c r="G254" t="n">
        <v>13</v>
      </c>
      <c r="H254" t="n">
        <v>4</v>
      </c>
      <c r="I254" t="n">
        <v>3</v>
      </c>
      <c r="J254" t="n">
        <v>3</v>
      </c>
      <c r="K254" t="n">
        <v>3</v>
      </c>
      <c r="L254" t="n">
        <v>2</v>
      </c>
      <c r="M254" t="n">
        <v>1</v>
      </c>
      <c r="N254" t="n">
        <v>1</v>
      </c>
      <c r="O254" t="n">
        <v>0</v>
      </c>
      <c r="P254" t="n">
        <v>0</v>
      </c>
    </row>
    <row r="255">
      <c r="F255" t="inlineStr">
        <is>
          <t>Wizard</t>
        </is>
      </c>
      <c r="G255" t="n">
        <v>14</v>
      </c>
      <c r="H255" t="n">
        <v>4</v>
      </c>
      <c r="I255" t="n">
        <v>3</v>
      </c>
      <c r="J255" t="n">
        <v>3</v>
      </c>
      <c r="K255" t="n">
        <v>3</v>
      </c>
      <c r="L255" t="n">
        <v>2</v>
      </c>
      <c r="M255" t="n">
        <v>1</v>
      </c>
      <c r="N255" t="n">
        <v>1</v>
      </c>
      <c r="O255" t="n">
        <v>0</v>
      </c>
      <c r="P255" t="n">
        <v>0</v>
      </c>
    </row>
    <row r="256">
      <c r="F256" t="inlineStr">
        <is>
          <t>Wizard</t>
        </is>
      </c>
      <c r="G256" t="n">
        <v>15</v>
      </c>
      <c r="H256" t="n">
        <v>4</v>
      </c>
      <c r="I256" t="n">
        <v>3</v>
      </c>
      <c r="J256" t="n">
        <v>3</v>
      </c>
      <c r="K256" t="n">
        <v>3</v>
      </c>
      <c r="L256" t="n">
        <v>2</v>
      </c>
      <c r="M256" t="n">
        <v>1</v>
      </c>
      <c r="N256" t="n">
        <v>1</v>
      </c>
      <c r="O256" t="n">
        <v>1</v>
      </c>
      <c r="P256" t="n">
        <v>0</v>
      </c>
    </row>
    <row r="257">
      <c r="F257" t="inlineStr">
        <is>
          <t>Wizard</t>
        </is>
      </c>
      <c r="G257" t="n">
        <v>16</v>
      </c>
      <c r="H257" t="n">
        <v>4</v>
      </c>
      <c r="I257" t="n">
        <v>3</v>
      </c>
      <c r="J257" t="n">
        <v>3</v>
      </c>
      <c r="K257" t="n">
        <v>3</v>
      </c>
      <c r="L257" t="n">
        <v>2</v>
      </c>
      <c r="M257" t="n">
        <v>1</v>
      </c>
      <c r="N257" t="n">
        <v>1</v>
      </c>
      <c r="O257" t="n">
        <v>1</v>
      </c>
      <c r="P257" t="n">
        <v>0</v>
      </c>
    </row>
    <row r="258">
      <c r="F258" t="inlineStr">
        <is>
          <t>Wizard</t>
        </is>
      </c>
      <c r="G258" t="n">
        <v>17</v>
      </c>
      <c r="H258" t="n">
        <v>4</v>
      </c>
      <c r="I258" t="n">
        <v>3</v>
      </c>
      <c r="J258" t="n">
        <v>3</v>
      </c>
      <c r="K258" t="n">
        <v>3</v>
      </c>
      <c r="L258" t="n">
        <v>2</v>
      </c>
      <c r="M258" t="n">
        <v>1</v>
      </c>
      <c r="N258" t="n">
        <v>1</v>
      </c>
      <c r="O258" t="n">
        <v>1</v>
      </c>
      <c r="P258" t="n">
        <v>1</v>
      </c>
    </row>
    <row r="259">
      <c r="F259" t="inlineStr">
        <is>
          <t>Wizard</t>
        </is>
      </c>
      <c r="G259" t="n">
        <v>18</v>
      </c>
      <c r="H259" t="n">
        <v>4</v>
      </c>
      <c r="I259" t="n">
        <v>3</v>
      </c>
      <c r="J259" t="n">
        <v>3</v>
      </c>
      <c r="K259" t="n">
        <v>3</v>
      </c>
      <c r="L259" t="n">
        <v>3</v>
      </c>
      <c r="M259" t="n">
        <v>1</v>
      </c>
      <c r="N259" t="n">
        <v>1</v>
      </c>
      <c r="O259" t="n">
        <v>1</v>
      </c>
      <c r="P259" t="n">
        <v>1</v>
      </c>
    </row>
    <row r="260">
      <c r="F260" t="inlineStr">
        <is>
          <t>Wizard</t>
        </is>
      </c>
      <c r="G260" t="n">
        <v>19</v>
      </c>
      <c r="H260" t="n">
        <v>4</v>
      </c>
      <c r="I260" t="n">
        <v>3</v>
      </c>
      <c r="J260" t="n">
        <v>3</v>
      </c>
      <c r="K260" t="n">
        <v>3</v>
      </c>
      <c r="L260" t="n">
        <v>3</v>
      </c>
      <c r="M260" t="n">
        <v>2</v>
      </c>
      <c r="N260" t="n">
        <v>1</v>
      </c>
      <c r="O260" t="n">
        <v>1</v>
      </c>
      <c r="P260" t="n">
        <v>1</v>
      </c>
    </row>
    <row r="261">
      <c r="F261" t="inlineStr">
        <is>
          <t>Wizard</t>
        </is>
      </c>
      <c r="G261" t="n">
        <v>20</v>
      </c>
      <c r="H261" t="n">
        <v>4</v>
      </c>
      <c r="I261" t="n">
        <v>3</v>
      </c>
      <c r="J261" t="n">
        <v>3</v>
      </c>
      <c r="K261" t="n">
        <v>3</v>
      </c>
      <c r="L261" t="n">
        <v>3</v>
      </c>
      <c r="M261" t="n">
        <v>2</v>
      </c>
      <c r="N261" t="n">
        <v>2</v>
      </c>
      <c r="O261" t="n">
        <v>1</v>
      </c>
      <c r="P261" t="n">
        <v>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2026-05-15T03:49:51Z</dcterms:created>
  <dcterms:modified xsi:type="dcterms:W3CDTF">2026-05-15T03:49:51Z</dcterms:modified>
</cp:coreProperties>
</file>