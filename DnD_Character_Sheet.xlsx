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Character" sheetId="2" state="visible" r:id="rId2"/>
    <sheet name="Inventory" sheetId="3" state="visible" r:id="rId3"/>
    <sheet name="Combat &amp; Spells" sheetId="4" state="visible" r:id="rId4"/>
    <sheet name="Features &amp; Notes"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Book Antiqua"/>
      <b val="1"/>
      <color rgb="00E8DBC4"/>
      <sz val="18"/>
    </font>
    <font>
      <name val="Book Antiqua"/>
      <i val="1"/>
      <color rgb="009C8F7A"/>
      <sz val="11"/>
    </font>
    <font>
      <name val="Cambria"/>
      <color rgb="00E8DBC4"/>
      <sz val="11"/>
    </font>
    <font>
      <name val="Book Antiqua"/>
      <b val="1"/>
      <color rgb="00E8DBC4"/>
      <sz val="12"/>
    </font>
    <font>
      <name val="Book Antiqua"/>
      <b val="1"/>
      <color rgb="00E8DBC4"/>
      <sz val="11"/>
    </font>
    <font>
      <name val="Cambria"/>
      <i val="1"/>
      <color rgb="009C8F7A"/>
      <sz val="11"/>
    </font>
  </fonts>
  <fills count="10">
    <fill>
      <patternFill/>
    </fill>
    <fill>
      <patternFill patternType="gray125"/>
    </fill>
    <fill>
      <patternFill patternType="solid">
        <fgColor rgb="000B0B0B"/>
      </patternFill>
    </fill>
    <fill>
      <patternFill patternType="solid">
        <fgColor rgb="0014110F"/>
      </patternFill>
    </fill>
    <fill>
      <patternFill patternType="solid">
        <fgColor rgb="001A1817"/>
      </patternFill>
    </fill>
    <fill>
      <patternFill patternType="solid">
        <fgColor rgb="005C2A3F"/>
      </patternFill>
    </fill>
    <fill>
      <patternFill patternType="solid">
        <fgColor rgb="002A2520"/>
      </patternFill>
    </fill>
    <fill>
      <patternFill patternType="solid">
        <fgColor rgb="004A1818"/>
      </patternFill>
    </fill>
    <fill>
      <patternFill patternType="solid">
        <fgColor rgb="001F2828"/>
      </patternFill>
    </fill>
    <fill>
      <patternFill patternType="solid">
        <fgColor rgb="00A03333"/>
      </patternFill>
    </fill>
  </fills>
  <borders count="6">
    <border>
      <left/>
      <right/>
      <top/>
      <bottom/>
      <diagonal/>
    </border>
    <border>
      <left style="thin">
        <color rgb="003A3530"/>
      </left>
      <right style="thin">
        <color rgb="003A3530"/>
      </right>
      <top style="thin">
        <color rgb="003A3530"/>
      </top>
      <bottom style="thin">
        <color rgb="003A3530"/>
      </bottom>
    </border>
    <border>
      <left/>
      <right/>
      <top style="thin">
        <color rgb="003A3530"/>
      </top>
      <bottom/>
      <diagonal/>
    </border>
    <border>
      <left/>
      <right style="thin">
        <color rgb="003A3530"/>
      </right>
      <top style="thin">
        <color rgb="003A3530"/>
      </top>
      <bottom/>
      <diagonal/>
    </border>
    <border>
      <left/>
      <right/>
      <top style="thin">
        <color rgb="003A3530"/>
      </top>
      <bottom style="thin">
        <color rgb="003A3530"/>
      </bottom>
      <diagonal/>
    </border>
    <border>
      <left/>
      <right style="thin">
        <color rgb="003A3530"/>
      </right>
      <top style="thin">
        <color rgb="003A3530"/>
      </top>
      <bottom style="thin">
        <color rgb="003A3530"/>
      </bottom>
      <diagonal/>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xf>
    <xf numFmtId="0" fontId="3" fillId="4" borderId="1" applyAlignment="1" pivotButton="0" quotePrefix="0" xfId="0">
      <alignment vertical="top" wrapText="1"/>
    </xf>
    <xf numFmtId="0" fontId="4" fillId="5" borderId="0" applyAlignment="1" pivotButton="0" quotePrefix="0" xfId="0">
      <alignment horizontal="left" vertical="center" indent="1"/>
    </xf>
    <xf numFmtId="0" fontId="5" fillId="4" borderId="1" applyAlignment="1" pivotButton="0" quotePrefix="0" xfId="0">
      <alignment horizontal="left" vertical="top" wrapText="1"/>
    </xf>
    <xf numFmtId="0" fontId="3" fillId="6" borderId="1" applyAlignment="1" pivotButton="0" quotePrefix="0" xfId="0">
      <alignment vertical="top" wrapText="1"/>
    </xf>
    <xf numFmtId="0" fontId="4" fillId="7" borderId="0" applyAlignment="1" pivotButton="0" quotePrefix="0" xfId="0">
      <alignment horizontal="left" vertical="center" indent="1"/>
    </xf>
    <xf numFmtId="0" fontId="0" fillId="6" borderId="1" pivotButton="0" quotePrefix="0" xfId="0"/>
    <xf numFmtId="0" fontId="3" fillId="4" borderId="1" applyAlignment="1" pivotButton="0" quotePrefix="0" xfId="0">
      <alignment horizontal="left" vertical="top" wrapText="1"/>
    </xf>
    <xf numFmtId="0" fontId="0" fillId="8" borderId="1" pivotButton="0" quotePrefix="0" xfId="0"/>
    <xf numFmtId="0" fontId="0" fillId="4" borderId="1" pivotButton="0" quotePrefix="0" xfId="0"/>
    <xf numFmtId="0" fontId="0" fillId="5" borderId="1" pivotButton="0" quotePrefix="0" xfId="0"/>
    <xf numFmtId="0" fontId="0" fillId="9" borderId="1" pivotButton="0" quotePrefix="0" xfId="0"/>
    <xf numFmtId="0" fontId="3" fillId="6" borderId="1" applyAlignment="1" pivotButton="0" quotePrefix="0" xfId="0">
      <alignment horizontal="left" vertical="top" wrapText="1"/>
    </xf>
    <xf numFmtId="0" fontId="3" fillId="6"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7"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0" borderId="0" applyAlignment="1" pivotButton="0" quotePrefix="0" xfId="0">
      <alignment vertical="top" wrapText="1"/>
    </xf>
    <xf numFmtId="0" fontId="5" fillId="5" borderId="1" applyAlignment="1" pivotButton="0" quotePrefix="0" xfId="0">
      <alignment horizontal="center" vertical="center" wrapText="1"/>
    </xf>
    <xf numFmtId="0" fontId="0" fillId="0" borderId="4" pivotButton="0" quotePrefix="0" xfId="0"/>
    <xf numFmtId="0" fontId="0" fillId="0" borderId="5" pivotButton="0" quotePrefix="0" xfId="0"/>
    <xf numFmtId="0" fontId="3" fillId="4" borderId="1" applyAlignment="1" pivotButton="0" quotePrefix="0" xfId="0">
      <alignment horizontal="center" vertical="center" wrapText="1"/>
    </xf>
  </cellXfs>
  <cellStyles count="1">
    <cellStyle name="Normal" xfId="0" builtinId="0" hidden="0"/>
  </cellStyles>
  <dxfs count="1">
    <dxf>
      <fill>
        <patternFill patternType="solid">
          <bgColor rgb="00A0333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B0B0B"/>
    <outlinePr summaryBelow="1" summaryRight="1"/>
    <pageSetUpPr/>
  </sheetPr>
  <dimension ref="A1:D23"/>
  <sheetViews>
    <sheetView workbookViewId="0">
      <selection activeCell="A1" sqref="A1"/>
    </sheetView>
  </sheetViews>
  <sheetFormatPr baseColWidth="8" defaultRowHeight="15"/>
  <cols>
    <col width="26" customWidth="1" min="1" max="1"/>
    <col width="90" customWidth="1" min="2" max="2"/>
  </cols>
  <sheetData>
    <row r="1" ht="32" customHeight="1">
      <c r="A1" s="1" t="inlineStr">
        <is>
          <t>A Sheet for Delvers of the Veins</t>
        </is>
      </c>
    </row>
    <row r="2" ht="18" customHeight="1">
      <c r="A2" s="2" t="inlineStr">
        <is>
          <t xml:space="preserve">  You go down because there is something down there. You take with you what your back can carry. Past that, you leave it behind.</t>
        </is>
      </c>
    </row>
    <row r="4" ht="64" customHeight="1">
      <c r="A4" s="3" t="inlineStr">
        <is>
          <t>A 5e character sheet rebuilt for play in the Veins of the Earth. The vanilla bones of a character sheet, but reworked for the dark: your pack is what your back can carry, tiredness fills it, and your hit points are what they are — level grants skill, not flesh. Edit the parchment-dark cells. Read the lichen-glow cells; those are calculated.</t>
        </is>
      </c>
    </row>
    <row r="6" ht="22" customHeight="1">
      <c r="A6" s="4" t="inlineStr">
        <is>
          <t>House Rules</t>
        </is>
      </c>
    </row>
    <row r="7" ht="60" customHeight="1">
      <c r="A7" s="5" t="inlineStr">
        <is>
          <t>The Pack</t>
        </is>
      </c>
      <c r="B7" s="6" t="inlineStr">
        <is>
          <t>Your carrying capacity is your Strength score, in slots. Heavy things take more. The dark always offers more to carry than you can — the capacity bar reddens the moment you've said yes to too much.</t>
        </is>
      </c>
    </row>
    <row r="8" ht="60" customHeight="1">
      <c r="A8" s="5" t="inlineStr">
        <is>
          <t>Tiredness (Exhaustion 0–6)</t>
        </is>
      </c>
      <c r="B8" s="6" t="inlineStr">
        <is>
          <t>Each level applies -2 to all d20 tests and -5 ft to your speed; at level 6 the dark wins. The Veins charge an extra fee: each level of exhaustion also fills a slot in your pack, since a tired delver fumbles, drops, leaves things behind.</t>
        </is>
      </c>
    </row>
    <row r="9" ht="60" customHeight="1">
      <c r="A9" s="5" t="inlineStr">
        <is>
          <t>The Death Tally</t>
        </is>
      </c>
      <c r="B9" s="6" t="inlineStr">
        <is>
          <t>When you hit 0 HP the GM rolls 1d4 in secret. That is the number of rounds before the dark takes you. The Death Tally cell is for the GM to mirror, or for the table that prefers their dying open.</t>
        </is>
      </c>
    </row>
    <row r="10" ht="60" customHeight="1">
      <c r="A10" s="5" t="inlineStr">
        <is>
          <t>Static HP</t>
        </is>
      </c>
      <c r="B10" s="6" t="inlineStr">
        <is>
          <t>You do not grow harder to kill the deeper you go. Max HP = (Class HP Base) + (CON modifier). Set Class HP Base once at session zero — a fighter's d10 maxes at 10, a wizard's d6 at 6, or pick your own number — and it stays there. Level grants skill, not flesh.</t>
        </is>
      </c>
    </row>
    <row r="12" ht="22" customHeight="1">
      <c r="A12" s="7" t="inlineStr">
        <is>
          <t>Sheets</t>
        </is>
      </c>
    </row>
    <row r="13" ht="22" customHeight="1">
      <c r="A13" s="5" t="inlineStr">
        <is>
          <t>Character</t>
        </is>
      </c>
      <c r="B13" s="3" t="inlineStr">
        <is>
          <t>Names, faculties, combat, the burdens, practiced crafts.</t>
        </is>
      </c>
    </row>
    <row r="14" ht="22" customHeight="1">
      <c r="A14" s="5" t="inlineStr">
        <is>
          <t>Inventory</t>
        </is>
      </c>
      <c r="B14" s="3" t="inlineStr">
        <is>
          <t>Pack &amp; pockets — what your back chose to carry.</t>
        </is>
      </c>
    </row>
    <row r="15" ht="22" customHeight="1">
      <c r="A15" s="5" t="inlineStr">
        <is>
          <t>Combat &amp; Spells</t>
        </is>
      </c>
      <c r="B15" s="3" t="inlineStr">
        <is>
          <t>Steel &amp; sorcery — weapons, the spellcasting block, slots, spells known.</t>
        </is>
      </c>
    </row>
    <row r="16" ht="22" customHeight="1">
      <c r="A16" s="5" t="inlineStr">
        <is>
          <t>Features &amp; Notes</t>
        </is>
      </c>
      <c r="B16" s="3" t="inlineStr">
        <is>
          <t>Lineage, tongue, the things that made you — and notes from the dark.</t>
        </is>
      </c>
    </row>
    <row r="18" ht="22" customHeight="1">
      <c r="A18" s="7" t="inlineStr">
        <is>
          <t>Colour Key</t>
        </is>
      </c>
    </row>
    <row r="19">
      <c r="A19" s="8" t="inlineStr"/>
      <c r="B19" s="9" t="inlineStr">
        <is>
          <t>Parchment-dark — write here.</t>
        </is>
      </c>
    </row>
    <row r="20">
      <c r="A20" s="10" t="inlineStr"/>
      <c r="B20" s="9" t="inlineStr">
        <is>
          <t>Lichen-glow — calculated. Do not overwrite.</t>
        </is>
      </c>
    </row>
    <row r="21">
      <c r="A21" s="11" t="inlineStr"/>
      <c r="B21" s="9" t="inlineStr">
        <is>
          <t>Dressed stone — field label.</t>
        </is>
      </c>
    </row>
    <row r="22">
      <c r="A22" s="12" t="inlineStr"/>
      <c r="B22" s="9" t="inlineStr">
        <is>
          <t>Bruised plum — house-rule fields.</t>
        </is>
      </c>
    </row>
    <row r="23">
      <c r="A23" s="13" t="inlineStr"/>
      <c r="B23" s="9" t="inlineStr">
        <is>
          <t>Rust — the dark is winning (over capacity, dying).</t>
        </is>
      </c>
    </row>
  </sheetData>
  <mergeCells count="6">
    <mergeCell ref="A4:B4"/>
    <mergeCell ref="A1:D1"/>
    <mergeCell ref="A18:D18"/>
    <mergeCell ref="A6:D6"/>
    <mergeCell ref="A12:D12"/>
    <mergeCell ref="A2:D2"/>
  </mergeCells>
  <pageMargins left="0.75" right="0.75" top="1" bottom="1" header="0.5" footer="0.5"/>
</worksheet>
</file>

<file path=xl/worksheets/sheet2.xml><?xml version="1.0" encoding="utf-8"?>
<worksheet xmlns="http://schemas.openxmlformats.org/spreadsheetml/2006/main">
  <sheetPr>
    <tabColor rgb="004A1818"/>
    <outlinePr summaryBelow="1" summaryRight="1"/>
    <pageSetUpPr/>
  </sheetPr>
  <dimension ref="A1:J46"/>
  <sheetViews>
    <sheetView workbookViewId="0">
      <selection activeCell="A1" sqref="A1"/>
    </sheetView>
  </sheetViews>
  <sheetFormatPr baseColWidth="8" defaultRowHeight="15"/>
  <cols>
    <col width="22" customWidth="1" min="1" max="1"/>
    <col width="10" customWidth="1" min="2" max="2"/>
    <col width="8" customWidth="1" min="3" max="3"/>
    <col width="10" customWidth="1" min="4" max="4"/>
    <col width="16" customWidth="1" min="5" max="5"/>
    <col width="12" customWidth="1" min="6" max="6"/>
    <col width="14" customWidth="1" min="7" max="7"/>
    <col width="14" customWidth="1" min="8" max="8"/>
    <col width="14" customWidth="1" min="9" max="9"/>
    <col width="18" customWidth="1" min="10" max="10"/>
  </cols>
  <sheetData>
    <row r="1" ht="32" customHeight="1">
      <c r="A1" s="1" t="inlineStr">
        <is>
          <t>A Delver — Names &amp; Numbers</t>
        </is>
      </c>
    </row>
    <row r="2" ht="18" customHeight="1">
      <c r="A2" s="2" t="inlineStr">
        <is>
          <t xml:space="preserve">  Lit lantern. Finite name. The dark is patient.</t>
        </is>
      </c>
    </row>
    <row r="3">
      <c r="A3" s="5" t="inlineStr">
        <is>
          <t>Character Name</t>
        </is>
      </c>
      <c r="B3" s="14" t="n"/>
      <c r="E3" s="5" t="inlineStr">
        <is>
          <t>Class</t>
        </is>
      </c>
      <c r="F3" s="14" t="n"/>
      <c r="G3" s="5" t="inlineStr">
        <is>
          <t>Level</t>
        </is>
      </c>
      <c r="H3" s="15" t="n">
        <v>1</v>
      </c>
      <c r="I3" s="5" t="inlineStr">
        <is>
          <t>XP</t>
        </is>
      </c>
      <c r="J3" s="15" t="n">
        <v>0</v>
      </c>
    </row>
    <row r="4">
      <c r="A4" s="5" t="inlineStr">
        <is>
          <t>Race / Ancestry</t>
        </is>
      </c>
      <c r="B4" s="14" t="n"/>
      <c r="E4" s="5" t="inlineStr">
        <is>
          <t>Background</t>
        </is>
      </c>
      <c r="F4" s="14" t="n"/>
      <c r="G4" s="5" t="inlineStr">
        <is>
          <t>Alignment</t>
        </is>
      </c>
      <c r="H4" s="14" t="n"/>
      <c r="I4" s="5" t="inlineStr">
        <is>
          <t>Player</t>
        </is>
      </c>
      <c r="J4" s="14" t="n"/>
    </row>
    <row r="5">
      <c r="A5" s="5" t="inlineStr">
        <is>
          <t>Proficiency Bonus</t>
        </is>
      </c>
      <c r="B5" s="16">
        <f>IF(ISNUMBER($H$3),INT(($H$3-1)/4)+2,2)</f>
        <v/>
      </c>
      <c r="C5" s="5" t="inlineStr">
        <is>
          <t>Inspiration</t>
        </is>
      </c>
      <c r="D5" s="15" t="n"/>
      <c r="E5" s="5" t="inlineStr">
        <is>
          <t>Passive Perception</t>
        </is>
      </c>
      <c r="F5" s="16">
        <f>10+C13+IF(C40="✓",IF(D40="✓",2,1)*$B$5,0)-2*$A$24</f>
        <v/>
      </c>
      <c r="G5" s="5" t="inlineStr">
        <is>
          <t>Speed (base)</t>
        </is>
      </c>
      <c r="H5" s="15" t="n">
        <v>30</v>
      </c>
      <c r="I5" s="5" t="inlineStr">
        <is>
          <t>Speed (effective)</t>
        </is>
      </c>
      <c r="J5" s="16">
        <f>MAX(0,H5-5*$A$24)</f>
        <v/>
      </c>
    </row>
    <row r="7" ht="22" customHeight="1">
      <c r="A7" s="7" t="inlineStr">
        <is>
          <t>Faculties &amp; Saving Throws</t>
        </is>
      </c>
    </row>
    <row r="8">
      <c r="A8" s="17" t="inlineStr">
        <is>
          <t>Ability</t>
        </is>
      </c>
      <c r="B8" s="17" t="inlineStr">
        <is>
          <t>Score</t>
        </is>
      </c>
      <c r="C8" s="17" t="inlineStr">
        <is>
          <t>Mod</t>
        </is>
      </c>
      <c r="D8" s="17" t="inlineStr">
        <is>
          <t>Save Prof?</t>
        </is>
      </c>
      <c r="E8" s="17" t="inlineStr">
        <is>
          <t>Save Total</t>
        </is>
      </c>
    </row>
    <row r="9">
      <c r="A9" s="18" t="inlineStr">
        <is>
          <t>STR</t>
        </is>
      </c>
      <c r="B9" s="15" t="n">
        <v>10</v>
      </c>
      <c r="C9" s="16">
        <f>INT((B9-10)/2)</f>
        <v/>
      </c>
      <c r="D9" s="15" t="n"/>
      <c r="E9" s="16">
        <f>C9+IF(D9="✓",$B$5,0)-2*$A$24</f>
        <v/>
      </c>
    </row>
    <row r="10">
      <c r="A10" s="18" t="inlineStr">
        <is>
          <t>DEX</t>
        </is>
      </c>
      <c r="B10" s="15" t="n">
        <v>10</v>
      </c>
      <c r="C10" s="16">
        <f>INT((B10-10)/2)</f>
        <v/>
      </c>
      <c r="D10" s="15" t="n"/>
      <c r="E10" s="16">
        <f>C10+IF(D10="✓",$B$5,0)-2*$A$24</f>
        <v/>
      </c>
    </row>
    <row r="11">
      <c r="A11" s="18" t="inlineStr">
        <is>
          <t>CON</t>
        </is>
      </c>
      <c r="B11" s="15" t="n">
        <v>10</v>
      </c>
      <c r="C11" s="16">
        <f>INT((B11-10)/2)</f>
        <v/>
      </c>
      <c r="D11" s="15" t="n"/>
      <c r="E11" s="16">
        <f>C11+IF(D11="✓",$B$5,0)-2*$A$24</f>
        <v/>
      </c>
    </row>
    <row r="12">
      <c r="A12" s="18" t="inlineStr">
        <is>
          <t>INT</t>
        </is>
      </c>
      <c r="B12" s="15" t="n">
        <v>10</v>
      </c>
      <c r="C12" s="16">
        <f>INT((B12-10)/2)</f>
        <v/>
      </c>
      <c r="D12" s="15" t="n"/>
      <c r="E12" s="16">
        <f>C12+IF(D12="✓",$B$5,0)-2*$A$24</f>
        <v/>
      </c>
    </row>
    <row r="13">
      <c r="A13" s="18" t="inlineStr">
        <is>
          <t>WIS</t>
        </is>
      </c>
      <c r="B13" s="15" t="n">
        <v>10</v>
      </c>
      <c r="C13" s="16">
        <f>INT((B13-10)/2)</f>
        <v/>
      </c>
      <c r="D13" s="15" t="n"/>
      <c r="E13" s="16">
        <f>C13+IF(D13="✓",$B$5,0)-2*$A$24</f>
        <v/>
      </c>
    </row>
    <row r="14">
      <c r="A14" s="18" t="inlineStr">
        <is>
          <t>CHA</t>
        </is>
      </c>
      <c r="B14" s="15" t="n">
        <v>10</v>
      </c>
      <c r="C14" s="16">
        <f>INT((B14-10)/2)</f>
        <v/>
      </c>
      <c r="D14" s="15" t="n"/>
      <c r="E14" s="16">
        <f>C14+IF(D14="✓",$B$5,0)-2*$A$24</f>
        <v/>
      </c>
    </row>
    <row r="15" ht="30" customHeight="1">
      <c r="A15" s="19" t="inlineStr">
        <is>
          <t>Tiredness has weight. Every d20 test — attack, save, check — loses 2 per level of exhaustion; the Save column already does this for you.</t>
        </is>
      </c>
    </row>
    <row r="17" ht="22" customHeight="1">
      <c r="A17" s="7" t="inlineStr">
        <is>
          <t>Combat &amp; the Dying Hours</t>
        </is>
      </c>
    </row>
    <row r="18">
      <c r="A18" s="17" t="inlineStr">
        <is>
          <t>AC</t>
        </is>
      </c>
      <c r="B18" s="17" t="inlineStr">
        <is>
          <t>Initiative</t>
        </is>
      </c>
      <c r="C18" s="17" t="inlineStr">
        <is>
          <t>Hit Dice (total)</t>
        </is>
      </c>
      <c r="D18" s="17" t="inlineStr">
        <is>
          <t>Class HP Base</t>
        </is>
      </c>
      <c r="E18" s="17" t="inlineStr">
        <is>
          <t>CON mod</t>
        </is>
      </c>
      <c r="F18" s="17" t="inlineStr">
        <is>
          <t>Max HP</t>
        </is>
      </c>
      <c r="G18" s="17" t="inlineStr">
        <is>
          <t>Current HP</t>
        </is>
      </c>
      <c r="H18" s="17" t="inlineStr">
        <is>
          <t>Temp HP</t>
        </is>
      </c>
      <c r="I18" s="17" t="inlineStr">
        <is>
          <t>Death Saves S/F</t>
        </is>
      </c>
    </row>
    <row r="19">
      <c r="A19" s="15" t="n">
        <v>10</v>
      </c>
      <c r="B19" s="16">
        <f>C10-2*$A$24</f>
        <v/>
      </c>
      <c r="C19" s="15" t="inlineStr"/>
      <c r="D19" s="15" t="n">
        <v>8</v>
      </c>
      <c r="E19" s="16">
        <f>C11</f>
        <v/>
      </c>
      <c r="F19" s="16">
        <f>D19+E19</f>
        <v/>
      </c>
      <c r="G19" s="15" t="inlineStr"/>
      <c r="H19" s="15" t="n">
        <v>0</v>
      </c>
      <c r="I19" s="15" t="inlineStr"/>
    </row>
    <row r="20" ht="30" customHeight="1">
      <c r="A20" s="19" t="inlineStr">
        <is>
          <t>You do not grow harder to kill the deeper you go. Max HP = Class HP Base + CON modifier; set the base once and leave it. Level grants skill, not flesh.</t>
        </is>
      </c>
    </row>
    <row r="22" ht="22" customHeight="1">
      <c r="A22" s="4" t="inlineStr">
        <is>
          <t>Burdens — Exhaustion, Death, the Pack</t>
        </is>
      </c>
    </row>
    <row r="23">
      <c r="A23" s="20" t="inlineStr">
        <is>
          <t>Exhaustion (0-6)</t>
        </is>
      </c>
      <c r="B23" s="20" t="inlineStr">
        <is>
          <t>Death Tally</t>
        </is>
      </c>
      <c r="C23" s="20" t="inlineStr">
        <is>
          <t>STR Score</t>
        </is>
      </c>
      <c r="D23" s="20" t="inlineStr">
        <is>
          <t>Item Slots Used</t>
        </is>
      </c>
      <c r="E23" s="20" t="inlineStr">
        <is>
          <t>Total Slots Used</t>
        </is>
      </c>
      <c r="F23" s="20" t="inlineStr">
        <is>
          <t>Slots Free</t>
        </is>
      </c>
      <c r="G23" s="20" t="inlineStr">
        <is>
          <t>d20 Penalty</t>
        </is>
      </c>
      <c r="H23" s="20" t="inlineStr">
        <is>
          <t>Speed Penalty</t>
        </is>
      </c>
    </row>
    <row r="24">
      <c r="A24" s="15" t="n">
        <v>0</v>
      </c>
      <c r="B24" s="15" t="n">
        <v>0</v>
      </c>
      <c r="C24" s="16">
        <f>B9</f>
        <v/>
      </c>
      <c r="D24" s="16">
        <f>Inventory!$C$4</f>
        <v/>
      </c>
      <c r="E24" s="16">
        <f>A24+D24</f>
        <v/>
      </c>
      <c r="F24" s="16">
        <f>C24-E24</f>
        <v/>
      </c>
      <c r="G24" s="16">
        <f>-2*A24</f>
        <v/>
      </c>
      <c r="H24" s="16">
        <f>-5*A24</f>
        <v/>
      </c>
    </row>
    <row r="25" ht="30" customHeight="1">
      <c r="A25" s="19" t="inlineStr">
        <is>
          <t>Your back's worth: Slot Total = STR.  Slots used = items + exhaustion. If Slots Free turns negative the Inventory capacity bar reddens — drop, cache, or leave behind until you fit again.</t>
        </is>
      </c>
    </row>
    <row r="27" ht="22" customHeight="1">
      <c r="A27" s="7" t="inlineStr">
        <is>
          <t>Skills &amp; Practiced Crafts</t>
        </is>
      </c>
    </row>
    <row r="28">
      <c r="A28" s="17" t="inlineStr">
        <is>
          <t>Skill</t>
        </is>
      </c>
      <c r="B28" s="17" t="inlineStr">
        <is>
          <t>Ability</t>
        </is>
      </c>
      <c r="C28" s="17" t="inlineStr">
        <is>
          <t>Prof?</t>
        </is>
      </c>
      <c r="D28" s="17" t="inlineStr">
        <is>
          <t>Expertise?</t>
        </is>
      </c>
      <c r="E28" s="17" t="inlineStr">
        <is>
          <t>Modifier</t>
        </is>
      </c>
      <c r="F28" s="17" t="inlineStr">
        <is>
          <t>Notes</t>
        </is>
      </c>
      <c r="G28" s="21" t="n"/>
      <c r="H28" s="21" t="n"/>
      <c r="I28" s="21" t="n"/>
      <c r="J28" s="22" t="n"/>
    </row>
    <row r="29">
      <c r="A29" s="5" t="inlineStr">
        <is>
          <t>Acrobatics</t>
        </is>
      </c>
      <c r="B29" s="23" t="inlineStr">
        <is>
          <t>DEX</t>
        </is>
      </c>
      <c r="C29" s="15" t="n"/>
      <c r="D29" s="15" t="n"/>
      <c r="E29" s="16">
        <f>C10+IF(C29="✓",IF(D29="✓",2,1)*$B$5,0)-2*$A$24</f>
        <v/>
      </c>
      <c r="F29" s="14" t="n"/>
      <c r="G29" s="21" t="n"/>
      <c r="H29" s="21" t="n"/>
      <c r="I29" s="21" t="n"/>
      <c r="J29" s="22" t="n"/>
    </row>
    <row r="30">
      <c r="A30" s="5" t="inlineStr">
        <is>
          <t>Animal Handling</t>
        </is>
      </c>
      <c r="B30" s="23" t="inlineStr">
        <is>
          <t>WIS</t>
        </is>
      </c>
      <c r="C30" s="15" t="n"/>
      <c r="D30" s="15" t="n"/>
      <c r="E30" s="16">
        <f>C13+IF(C30="✓",IF(D30="✓",2,1)*$B$5,0)-2*$A$24</f>
        <v/>
      </c>
      <c r="F30" s="14" t="n"/>
      <c r="G30" s="21" t="n"/>
      <c r="H30" s="21" t="n"/>
      <c r="I30" s="21" t="n"/>
      <c r="J30" s="22" t="n"/>
    </row>
    <row r="31">
      <c r="A31" s="5" t="inlineStr">
        <is>
          <t>Arcana</t>
        </is>
      </c>
      <c r="B31" s="23" t="inlineStr">
        <is>
          <t>INT</t>
        </is>
      </c>
      <c r="C31" s="15" t="n"/>
      <c r="D31" s="15" t="n"/>
      <c r="E31" s="16">
        <f>C12+IF(C31="✓",IF(D31="✓",2,1)*$B$5,0)-2*$A$24</f>
        <v/>
      </c>
      <c r="F31" s="14" t="n"/>
      <c r="G31" s="21" t="n"/>
      <c r="H31" s="21" t="n"/>
      <c r="I31" s="21" t="n"/>
      <c r="J31" s="22" t="n"/>
    </row>
    <row r="32">
      <c r="A32" s="5" t="inlineStr">
        <is>
          <t>Athletics</t>
        </is>
      </c>
      <c r="B32" s="23" t="inlineStr">
        <is>
          <t>STR</t>
        </is>
      </c>
      <c r="C32" s="15" t="n"/>
      <c r="D32" s="15" t="n"/>
      <c r="E32" s="16">
        <f>C9+IF(C32="✓",IF(D32="✓",2,1)*$B$5,0)-2*$A$24</f>
        <v/>
      </c>
      <c r="F32" s="14" t="n"/>
      <c r="G32" s="21" t="n"/>
      <c r="H32" s="21" t="n"/>
      <c r="I32" s="21" t="n"/>
      <c r="J32" s="22" t="n"/>
    </row>
    <row r="33">
      <c r="A33" s="5" t="inlineStr">
        <is>
          <t>Deception</t>
        </is>
      </c>
      <c r="B33" s="23" t="inlineStr">
        <is>
          <t>CHA</t>
        </is>
      </c>
      <c r="C33" s="15" t="n"/>
      <c r="D33" s="15" t="n"/>
      <c r="E33" s="16">
        <f>C14+IF(C33="✓",IF(D33="✓",2,1)*$B$5,0)-2*$A$24</f>
        <v/>
      </c>
      <c r="F33" s="14" t="n"/>
      <c r="G33" s="21" t="n"/>
      <c r="H33" s="21" t="n"/>
      <c r="I33" s="21" t="n"/>
      <c r="J33" s="22" t="n"/>
    </row>
    <row r="34">
      <c r="A34" s="5" t="inlineStr">
        <is>
          <t>History</t>
        </is>
      </c>
      <c r="B34" s="23" t="inlineStr">
        <is>
          <t>INT</t>
        </is>
      </c>
      <c r="C34" s="15" t="n"/>
      <c r="D34" s="15" t="n"/>
      <c r="E34" s="16">
        <f>C12+IF(C34="✓",IF(D34="✓",2,1)*$B$5,0)-2*$A$24</f>
        <v/>
      </c>
      <c r="F34" s="14" t="n"/>
      <c r="G34" s="21" t="n"/>
      <c r="H34" s="21" t="n"/>
      <c r="I34" s="21" t="n"/>
      <c r="J34" s="22" t="n"/>
    </row>
    <row r="35">
      <c r="A35" s="5" t="inlineStr">
        <is>
          <t>Insight</t>
        </is>
      </c>
      <c r="B35" s="23" t="inlineStr">
        <is>
          <t>WIS</t>
        </is>
      </c>
      <c r="C35" s="15" t="n"/>
      <c r="D35" s="15" t="n"/>
      <c r="E35" s="16">
        <f>C13+IF(C35="✓",IF(D35="✓",2,1)*$B$5,0)-2*$A$24</f>
        <v/>
      </c>
      <c r="F35" s="14" t="n"/>
      <c r="G35" s="21" t="n"/>
      <c r="H35" s="21" t="n"/>
      <c r="I35" s="21" t="n"/>
      <c r="J35" s="22" t="n"/>
    </row>
    <row r="36">
      <c r="A36" s="5" t="inlineStr">
        <is>
          <t>Intimidation</t>
        </is>
      </c>
      <c r="B36" s="23" t="inlineStr">
        <is>
          <t>CHA</t>
        </is>
      </c>
      <c r="C36" s="15" t="n"/>
      <c r="D36" s="15" t="n"/>
      <c r="E36" s="16">
        <f>C14+IF(C36="✓",IF(D36="✓",2,1)*$B$5,0)-2*$A$24</f>
        <v/>
      </c>
      <c r="F36" s="14" t="n"/>
      <c r="G36" s="21" t="n"/>
      <c r="H36" s="21" t="n"/>
      <c r="I36" s="21" t="n"/>
      <c r="J36" s="22" t="n"/>
    </row>
    <row r="37">
      <c r="A37" s="5" t="inlineStr">
        <is>
          <t>Investigation</t>
        </is>
      </c>
      <c r="B37" s="23" t="inlineStr">
        <is>
          <t>INT</t>
        </is>
      </c>
      <c r="C37" s="15" t="n"/>
      <c r="D37" s="15" t="n"/>
      <c r="E37" s="16">
        <f>C12+IF(C37="✓",IF(D37="✓",2,1)*$B$5,0)-2*$A$24</f>
        <v/>
      </c>
      <c r="F37" s="14" t="n"/>
      <c r="G37" s="21" t="n"/>
      <c r="H37" s="21" t="n"/>
      <c r="I37" s="21" t="n"/>
      <c r="J37" s="22" t="n"/>
    </row>
    <row r="38">
      <c r="A38" s="5" t="inlineStr">
        <is>
          <t>Medicine</t>
        </is>
      </c>
      <c r="B38" s="23" t="inlineStr">
        <is>
          <t>WIS</t>
        </is>
      </c>
      <c r="C38" s="15" t="n"/>
      <c r="D38" s="15" t="n"/>
      <c r="E38" s="16">
        <f>C13+IF(C38="✓",IF(D38="✓",2,1)*$B$5,0)-2*$A$24</f>
        <v/>
      </c>
      <c r="F38" s="14" t="n"/>
      <c r="G38" s="21" t="n"/>
      <c r="H38" s="21" t="n"/>
      <c r="I38" s="21" t="n"/>
      <c r="J38" s="22" t="n"/>
    </row>
    <row r="39">
      <c r="A39" s="5" t="inlineStr">
        <is>
          <t>Nature</t>
        </is>
      </c>
      <c r="B39" s="23" t="inlineStr">
        <is>
          <t>INT</t>
        </is>
      </c>
      <c r="C39" s="15" t="n"/>
      <c r="D39" s="15" t="n"/>
      <c r="E39" s="16">
        <f>C12+IF(C39="✓",IF(D39="✓",2,1)*$B$5,0)-2*$A$24</f>
        <v/>
      </c>
      <c r="F39" s="14" t="n"/>
      <c r="G39" s="21" t="n"/>
      <c r="H39" s="21" t="n"/>
      <c r="I39" s="21" t="n"/>
      <c r="J39" s="22" t="n"/>
    </row>
    <row r="40">
      <c r="A40" s="5" t="inlineStr">
        <is>
          <t>Perception</t>
        </is>
      </c>
      <c r="B40" s="23" t="inlineStr">
        <is>
          <t>WIS</t>
        </is>
      </c>
      <c r="C40" s="15" t="n"/>
      <c r="D40" s="15" t="n"/>
      <c r="E40" s="16">
        <f>C13+IF(C40="✓",IF(D40="✓",2,1)*$B$5,0)-2*$A$24</f>
        <v/>
      </c>
      <c r="F40" s="14" t="n"/>
      <c r="G40" s="21" t="n"/>
      <c r="H40" s="21" t="n"/>
      <c r="I40" s="21" t="n"/>
      <c r="J40" s="22" t="n"/>
    </row>
    <row r="41">
      <c r="A41" s="5" t="inlineStr">
        <is>
          <t>Performance</t>
        </is>
      </c>
      <c r="B41" s="23" t="inlineStr">
        <is>
          <t>CHA</t>
        </is>
      </c>
      <c r="C41" s="15" t="n"/>
      <c r="D41" s="15" t="n"/>
      <c r="E41" s="16">
        <f>C14+IF(C41="✓",IF(D41="✓",2,1)*$B$5,0)-2*$A$24</f>
        <v/>
      </c>
      <c r="F41" s="14" t="n"/>
      <c r="G41" s="21" t="n"/>
      <c r="H41" s="21" t="n"/>
      <c r="I41" s="21" t="n"/>
      <c r="J41" s="22" t="n"/>
    </row>
    <row r="42">
      <c r="A42" s="5" t="inlineStr">
        <is>
          <t>Persuasion</t>
        </is>
      </c>
      <c r="B42" s="23" t="inlineStr">
        <is>
          <t>CHA</t>
        </is>
      </c>
      <c r="C42" s="15" t="n"/>
      <c r="D42" s="15" t="n"/>
      <c r="E42" s="16">
        <f>C14+IF(C42="✓",IF(D42="✓",2,1)*$B$5,0)-2*$A$24</f>
        <v/>
      </c>
      <c r="F42" s="14" t="n"/>
      <c r="G42" s="21" t="n"/>
      <c r="H42" s="21" t="n"/>
      <c r="I42" s="21" t="n"/>
      <c r="J42" s="22" t="n"/>
    </row>
    <row r="43">
      <c r="A43" s="5" t="inlineStr">
        <is>
          <t>Religion</t>
        </is>
      </c>
      <c r="B43" s="23" t="inlineStr">
        <is>
          <t>INT</t>
        </is>
      </c>
      <c r="C43" s="15" t="n"/>
      <c r="D43" s="15" t="n"/>
      <c r="E43" s="16">
        <f>C12+IF(C43="✓",IF(D43="✓",2,1)*$B$5,0)-2*$A$24</f>
        <v/>
      </c>
      <c r="F43" s="14" t="n"/>
      <c r="G43" s="21" t="n"/>
      <c r="H43" s="21" t="n"/>
      <c r="I43" s="21" t="n"/>
      <c r="J43" s="22" t="n"/>
    </row>
    <row r="44">
      <c r="A44" s="5" t="inlineStr">
        <is>
          <t>Sleight of Hand</t>
        </is>
      </c>
      <c r="B44" s="23" t="inlineStr">
        <is>
          <t>DEX</t>
        </is>
      </c>
      <c r="C44" s="15" t="n"/>
      <c r="D44" s="15" t="n"/>
      <c r="E44" s="16">
        <f>C10+IF(C44="✓",IF(D44="✓",2,1)*$B$5,0)-2*$A$24</f>
        <v/>
      </c>
      <c r="F44" s="14" t="n"/>
      <c r="G44" s="21" t="n"/>
      <c r="H44" s="21" t="n"/>
      <c r="I44" s="21" t="n"/>
      <c r="J44" s="22" t="n"/>
    </row>
    <row r="45">
      <c r="A45" s="5" t="inlineStr">
        <is>
          <t>Stealth</t>
        </is>
      </c>
      <c r="B45" s="23" t="inlineStr">
        <is>
          <t>DEX</t>
        </is>
      </c>
      <c r="C45" s="15" t="n"/>
      <c r="D45" s="15" t="n"/>
      <c r="E45" s="16">
        <f>C10+IF(C45="✓",IF(D45="✓",2,1)*$B$5,0)-2*$A$24</f>
        <v/>
      </c>
      <c r="F45" s="14" t="n"/>
      <c r="G45" s="21" t="n"/>
      <c r="H45" s="21" t="n"/>
      <c r="I45" s="21" t="n"/>
      <c r="J45" s="22" t="n"/>
    </row>
    <row r="46">
      <c r="A46" s="5" t="inlineStr">
        <is>
          <t>Survival</t>
        </is>
      </c>
      <c r="B46" s="23" t="inlineStr">
        <is>
          <t>WIS</t>
        </is>
      </c>
      <c r="C46" s="15" t="n"/>
      <c r="D46" s="15" t="n"/>
      <c r="E46" s="16">
        <f>C13+IF(C46="✓",IF(D46="✓",2,1)*$B$5,0)-2*$A$24</f>
        <v/>
      </c>
      <c r="F46" s="14" t="n"/>
      <c r="G46" s="21" t="n"/>
      <c r="H46" s="21" t="n"/>
      <c r="I46" s="21" t="n"/>
      <c r="J46" s="22" t="n"/>
    </row>
  </sheetData>
  <mergeCells count="30">
    <mergeCell ref="F44:J44"/>
    <mergeCell ref="F29:J29"/>
    <mergeCell ref="A22:J22"/>
    <mergeCell ref="A17:J17"/>
    <mergeCell ref="F34:J34"/>
    <mergeCell ref="A20:J20"/>
    <mergeCell ref="F40:J40"/>
    <mergeCell ref="F30:J30"/>
    <mergeCell ref="F36:J36"/>
    <mergeCell ref="A15:J15"/>
    <mergeCell ref="F42:J42"/>
    <mergeCell ref="F33:J33"/>
    <mergeCell ref="F45:J45"/>
    <mergeCell ref="F41:J41"/>
    <mergeCell ref="F35:J35"/>
    <mergeCell ref="F32:J32"/>
    <mergeCell ref="A1:J1"/>
    <mergeCell ref="F38:J38"/>
    <mergeCell ref="B4:D4"/>
    <mergeCell ref="F28:J28"/>
    <mergeCell ref="A7:J7"/>
    <mergeCell ref="F31:J31"/>
    <mergeCell ref="F46:J46"/>
    <mergeCell ref="A25:J25"/>
    <mergeCell ref="B3:D3"/>
    <mergeCell ref="F43:J43"/>
    <mergeCell ref="F37:J37"/>
    <mergeCell ref="F39:J39"/>
    <mergeCell ref="A27:J27"/>
    <mergeCell ref="A2:J2"/>
  </mergeCells>
  <conditionalFormatting sqref="F24">
    <cfRule type="expression" priority="1" dxfId="0">
      <formula>$F$24&lt;0</formula>
    </cfRule>
  </conditionalFormatting>
  <dataValidations count="3">
    <dataValidation sqref="A24" showDropDown="0" showInputMessage="0" showErrorMessage="1" allowBlank="0" errorTitle="Out of range" error="Exhaustion is tracked 0–6. At 6 the character dies." type="whole" operator="between">
      <formula1>0</formula1>
      <formula2>6</formula2>
    </dataValidation>
    <dataValidation sqref="B24" showDropDown="0" showInputMessage="0" showErrorMessage="0" allowBlank="1" type="whole" operator="between">
      <formula1>0</formula1>
      <formula2>4</formula2>
    </dataValidation>
    <dataValidation sqref="C29 C30 C31 C32 C33 C34 C35 C36 C37 C38 C39 C40 C41 C42 C43 C44 C45 C46 D9 D10 D11 D12 D13 D14 D29 D30 D31 D32 D33 D34 D35 D36 D37 D38 D39 D40 D41 D42 D43 D44 D45 D46"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3A2F2A"/>
    <outlinePr summaryBelow="1" summaryRight="1"/>
    <pageSetUpPr/>
  </sheetPr>
  <dimension ref="A1:E58"/>
  <sheetViews>
    <sheetView workbookViewId="0">
      <selection activeCell="A1" sqref="A1"/>
    </sheetView>
  </sheetViews>
  <sheetFormatPr baseColWidth="8" defaultRowHeight="15"/>
  <cols>
    <col width="6" customWidth="1" min="1" max="1"/>
    <col width="30" customWidth="1" min="2" max="2"/>
    <col width="10" customWidth="1" min="3" max="3"/>
    <col width="10" customWidth="1" min="4" max="4"/>
    <col width="60" customWidth="1" min="5" max="5"/>
  </cols>
  <sheetData>
    <row r="1" ht="32" customHeight="1">
      <c r="A1" s="1" t="inlineStr">
        <is>
          <t>What You Carry — Slot by Slot</t>
        </is>
      </c>
    </row>
    <row r="2" ht="18" customHeight="1">
      <c r="A2" s="2" t="inlineStr">
        <is>
          <t xml:space="preserve">  Heavy things take more. The dark always offers more to carry than you can.</t>
        </is>
      </c>
    </row>
    <row r="3">
      <c r="A3" s="20" t="inlineStr">
        <is>
          <t>STR Slots</t>
        </is>
      </c>
      <c r="B3" s="20" t="inlineStr">
        <is>
          <t>Exhaustion Slots</t>
        </is>
      </c>
      <c r="C3" s="20" t="inlineStr">
        <is>
          <t>Item Slots Used</t>
        </is>
      </c>
      <c r="D3" s="20" t="inlineStr">
        <is>
          <t>Total Used</t>
        </is>
      </c>
      <c r="E3" s="20" t="inlineStr">
        <is>
          <t>Free</t>
        </is>
      </c>
    </row>
    <row r="4">
      <c r="A4" s="16">
        <f>Character!B9</f>
        <v/>
      </c>
      <c r="B4" s="16">
        <f>Character!$A$24</f>
        <v/>
      </c>
      <c r="C4" s="16">
        <f>SUM($C$9:$C$58)</f>
        <v/>
      </c>
      <c r="D4" s="16">
        <f>B4+C4</f>
        <v/>
      </c>
      <c r="E4" s="16">
        <f>A4-D4</f>
        <v/>
      </c>
    </row>
    <row r="5" ht="30" customHeight="1">
      <c r="A5" s="19" t="inlineStr">
        <is>
          <t>Tiredness fills slots before items do — each level of exhaustion takes one. Set the Slot Cost for each thing in your pack; the capacity bar runs rust the moment you've taken on more than your back will keep.</t>
        </is>
      </c>
    </row>
    <row r="7" ht="22" customHeight="1">
      <c r="A7" s="7" t="inlineStr">
        <is>
          <t>Pack &amp; Pockets</t>
        </is>
      </c>
    </row>
    <row r="8">
      <c r="A8" s="17" t="inlineStr">
        <is>
          <t>#</t>
        </is>
      </c>
      <c r="B8" s="17" t="inlineStr">
        <is>
          <t>Item</t>
        </is>
      </c>
      <c r="C8" s="17" t="inlineStr">
        <is>
          <t>Slot Cost</t>
        </is>
      </c>
      <c r="D8" s="17" t="inlineStr">
        <is>
          <t>Qty</t>
        </is>
      </c>
      <c r="E8" s="17" t="inlineStr">
        <is>
          <t>Notes</t>
        </is>
      </c>
    </row>
    <row r="9">
      <c r="A9" s="23" t="n">
        <v>1</v>
      </c>
      <c r="B9" s="14" t="n"/>
      <c r="C9" s="15" t="inlineStr"/>
      <c r="D9" s="15" t="n"/>
      <c r="E9" s="14" t="n"/>
    </row>
    <row r="10">
      <c r="A10" s="23" t="n">
        <v>2</v>
      </c>
      <c r="B10" s="14" t="n"/>
      <c r="C10" s="15" t="inlineStr"/>
      <c r="D10" s="15" t="n"/>
      <c r="E10" s="14" t="n"/>
    </row>
    <row r="11">
      <c r="A11" s="23" t="n">
        <v>3</v>
      </c>
      <c r="B11" s="14" t="n"/>
      <c r="C11" s="15" t="inlineStr"/>
      <c r="D11" s="15" t="n"/>
      <c r="E11" s="14" t="n"/>
    </row>
    <row r="12">
      <c r="A12" s="23" t="n">
        <v>4</v>
      </c>
      <c r="B12" s="14" t="n"/>
      <c r="C12" s="15" t="inlineStr"/>
      <c r="D12" s="15" t="n"/>
      <c r="E12" s="14" t="n"/>
    </row>
    <row r="13">
      <c r="A13" s="23" t="n">
        <v>5</v>
      </c>
      <c r="B13" s="14" t="n"/>
      <c r="C13" s="15" t="inlineStr"/>
      <c r="D13" s="15" t="n"/>
      <c r="E13" s="14" t="n"/>
    </row>
    <row r="14">
      <c r="A14" s="23" t="n">
        <v>6</v>
      </c>
      <c r="B14" s="14" t="n"/>
      <c r="C14" s="15" t="inlineStr"/>
      <c r="D14" s="15" t="n"/>
      <c r="E14" s="14" t="n"/>
    </row>
    <row r="15">
      <c r="A15" s="23" t="n">
        <v>7</v>
      </c>
      <c r="B15" s="14" t="n"/>
      <c r="C15" s="15" t="inlineStr"/>
      <c r="D15" s="15" t="n"/>
      <c r="E15" s="14" t="n"/>
    </row>
    <row r="16">
      <c r="A16" s="23" t="n">
        <v>8</v>
      </c>
      <c r="B16" s="14" t="n"/>
      <c r="C16" s="15" t="inlineStr"/>
      <c r="D16" s="15" t="n"/>
      <c r="E16" s="14" t="n"/>
    </row>
    <row r="17">
      <c r="A17" s="23" t="n">
        <v>9</v>
      </c>
      <c r="B17" s="14" t="n"/>
      <c r="C17" s="15" t="inlineStr"/>
      <c r="D17" s="15" t="n"/>
      <c r="E17" s="14" t="n"/>
    </row>
    <row r="18">
      <c r="A18" s="23" t="n">
        <v>10</v>
      </c>
      <c r="B18" s="14" t="n"/>
      <c r="C18" s="15" t="inlineStr"/>
      <c r="D18" s="15" t="n"/>
      <c r="E18" s="14" t="n"/>
    </row>
    <row r="19">
      <c r="A19" s="23" t="n">
        <v>11</v>
      </c>
      <c r="B19" s="14" t="n"/>
      <c r="C19" s="15" t="inlineStr"/>
      <c r="D19" s="15" t="n"/>
      <c r="E19" s="14" t="n"/>
    </row>
    <row r="20">
      <c r="A20" s="23" t="n">
        <v>12</v>
      </c>
      <c r="B20" s="14" t="n"/>
      <c r="C20" s="15" t="inlineStr"/>
      <c r="D20" s="15" t="n"/>
      <c r="E20" s="14" t="n"/>
    </row>
    <row r="21">
      <c r="A21" s="23" t="n">
        <v>13</v>
      </c>
      <c r="B21" s="14" t="n"/>
      <c r="C21" s="15" t="inlineStr"/>
      <c r="D21" s="15" t="n"/>
      <c r="E21" s="14" t="n"/>
    </row>
    <row r="22">
      <c r="A22" s="23" t="n">
        <v>14</v>
      </c>
      <c r="B22" s="14" t="n"/>
      <c r="C22" s="15" t="inlineStr"/>
      <c r="D22" s="15" t="n"/>
      <c r="E22" s="14" t="n"/>
    </row>
    <row r="23">
      <c r="A23" s="23" t="n">
        <v>15</v>
      </c>
      <c r="B23" s="14" t="n"/>
      <c r="C23" s="15" t="inlineStr"/>
      <c r="D23" s="15" t="n"/>
      <c r="E23" s="14" t="n"/>
    </row>
    <row r="24">
      <c r="A24" s="23" t="n">
        <v>16</v>
      </c>
      <c r="B24" s="14" t="n"/>
      <c r="C24" s="15" t="inlineStr"/>
      <c r="D24" s="15" t="n"/>
      <c r="E24" s="14" t="n"/>
    </row>
    <row r="25">
      <c r="A25" s="23" t="n">
        <v>17</v>
      </c>
      <c r="B25" s="14" t="n"/>
      <c r="C25" s="15" t="inlineStr"/>
      <c r="D25" s="15" t="n"/>
      <c r="E25" s="14" t="n"/>
    </row>
    <row r="26">
      <c r="A26" s="23" t="n">
        <v>18</v>
      </c>
      <c r="B26" s="14" t="n"/>
      <c r="C26" s="15" t="inlineStr"/>
      <c r="D26" s="15" t="n"/>
      <c r="E26" s="14" t="n"/>
    </row>
    <row r="27">
      <c r="A27" s="23" t="n">
        <v>19</v>
      </c>
      <c r="B27" s="14" t="n"/>
      <c r="C27" s="15" t="inlineStr"/>
      <c r="D27" s="15" t="n"/>
      <c r="E27" s="14" t="n"/>
    </row>
    <row r="28">
      <c r="A28" s="23" t="n">
        <v>20</v>
      </c>
      <c r="B28" s="14" t="n"/>
      <c r="C28" s="15" t="inlineStr"/>
      <c r="D28" s="15" t="n"/>
      <c r="E28" s="14" t="n"/>
    </row>
    <row r="29">
      <c r="A29" s="23" t="n">
        <v>21</v>
      </c>
      <c r="B29" s="14" t="n"/>
      <c r="C29" s="15" t="inlineStr"/>
      <c r="D29" s="15" t="n"/>
      <c r="E29" s="14" t="n"/>
    </row>
    <row r="30">
      <c r="A30" s="23" t="n">
        <v>22</v>
      </c>
      <c r="B30" s="14" t="n"/>
      <c r="C30" s="15" t="inlineStr"/>
      <c r="D30" s="15" t="n"/>
      <c r="E30" s="14" t="n"/>
    </row>
    <row r="31">
      <c r="A31" s="23" t="n">
        <v>23</v>
      </c>
      <c r="B31" s="14" t="n"/>
      <c r="C31" s="15" t="inlineStr"/>
      <c r="D31" s="15" t="n"/>
      <c r="E31" s="14" t="n"/>
    </row>
    <row r="32">
      <c r="A32" s="23" t="n">
        <v>24</v>
      </c>
      <c r="B32" s="14" t="n"/>
      <c r="C32" s="15" t="inlineStr"/>
      <c r="D32" s="15" t="n"/>
      <c r="E32" s="14" t="n"/>
    </row>
    <row r="33">
      <c r="A33" s="23" t="n">
        <v>25</v>
      </c>
      <c r="B33" s="14" t="n"/>
      <c r="C33" s="15" t="inlineStr"/>
      <c r="D33" s="15" t="n"/>
      <c r="E33" s="14" t="n"/>
    </row>
    <row r="34">
      <c r="A34" s="23" t="n">
        <v>26</v>
      </c>
      <c r="B34" s="14" t="n"/>
      <c r="C34" s="15" t="inlineStr"/>
      <c r="D34" s="15" t="n"/>
      <c r="E34" s="14" t="n"/>
    </row>
    <row r="35">
      <c r="A35" s="23" t="n">
        <v>27</v>
      </c>
      <c r="B35" s="14" t="n"/>
      <c r="C35" s="15" t="inlineStr"/>
      <c r="D35" s="15" t="n"/>
      <c r="E35" s="14" t="n"/>
    </row>
    <row r="36">
      <c r="A36" s="23" t="n">
        <v>28</v>
      </c>
      <c r="B36" s="14" t="n"/>
      <c r="C36" s="15" t="inlineStr"/>
      <c r="D36" s="15" t="n"/>
      <c r="E36" s="14" t="n"/>
    </row>
    <row r="37">
      <c r="A37" s="23" t="n">
        <v>29</v>
      </c>
      <c r="B37" s="14" t="n"/>
      <c r="C37" s="15" t="inlineStr"/>
      <c r="D37" s="15" t="n"/>
      <c r="E37" s="14" t="n"/>
    </row>
    <row r="38">
      <c r="A38" s="23" t="n">
        <v>30</v>
      </c>
      <c r="B38" s="14" t="n"/>
      <c r="C38" s="15" t="inlineStr"/>
      <c r="D38" s="15" t="n"/>
      <c r="E38" s="14" t="n"/>
    </row>
    <row r="39">
      <c r="A39" s="23" t="n">
        <v>31</v>
      </c>
      <c r="B39" s="14" t="n"/>
      <c r="C39" s="15" t="inlineStr"/>
      <c r="D39" s="15" t="n"/>
      <c r="E39" s="14" t="n"/>
    </row>
    <row r="40">
      <c r="A40" s="23" t="n">
        <v>32</v>
      </c>
      <c r="B40" s="14" t="n"/>
      <c r="C40" s="15" t="inlineStr"/>
      <c r="D40" s="15" t="n"/>
      <c r="E40" s="14" t="n"/>
    </row>
    <row r="41">
      <c r="A41" s="23" t="n">
        <v>33</v>
      </c>
      <c r="B41" s="14" t="n"/>
      <c r="C41" s="15" t="inlineStr"/>
      <c r="D41" s="15" t="n"/>
      <c r="E41" s="14" t="n"/>
    </row>
    <row r="42">
      <c r="A42" s="23" t="n">
        <v>34</v>
      </c>
      <c r="B42" s="14" t="n"/>
      <c r="C42" s="15" t="inlineStr"/>
      <c r="D42" s="15" t="n"/>
      <c r="E42" s="14" t="n"/>
    </row>
    <row r="43">
      <c r="A43" s="23" t="n">
        <v>35</v>
      </c>
      <c r="B43" s="14" t="n"/>
      <c r="C43" s="15" t="inlineStr"/>
      <c r="D43" s="15" t="n"/>
      <c r="E43" s="14" t="n"/>
    </row>
    <row r="44">
      <c r="A44" s="23" t="n">
        <v>36</v>
      </c>
      <c r="B44" s="14" t="n"/>
      <c r="C44" s="15" t="inlineStr"/>
      <c r="D44" s="15" t="n"/>
      <c r="E44" s="14" t="n"/>
    </row>
    <row r="45">
      <c r="A45" s="23" t="n">
        <v>37</v>
      </c>
      <c r="B45" s="14" t="n"/>
      <c r="C45" s="15" t="inlineStr"/>
      <c r="D45" s="15" t="n"/>
      <c r="E45" s="14" t="n"/>
    </row>
    <row r="46">
      <c r="A46" s="23" t="n">
        <v>38</v>
      </c>
      <c r="B46" s="14" t="n"/>
      <c r="C46" s="15" t="inlineStr"/>
      <c r="D46" s="15" t="n"/>
      <c r="E46" s="14" t="n"/>
    </row>
    <row r="47">
      <c r="A47" s="23" t="n">
        <v>39</v>
      </c>
      <c r="B47" s="14" t="n"/>
      <c r="C47" s="15" t="inlineStr"/>
      <c r="D47" s="15" t="n"/>
      <c r="E47" s="14" t="n"/>
    </row>
    <row r="48">
      <c r="A48" s="23" t="n">
        <v>40</v>
      </c>
      <c r="B48" s="14" t="n"/>
      <c r="C48" s="15" t="inlineStr"/>
      <c r="D48" s="15" t="n"/>
      <c r="E48" s="14" t="n"/>
    </row>
    <row r="49">
      <c r="A49" s="23" t="n">
        <v>41</v>
      </c>
      <c r="B49" s="14" t="n"/>
      <c r="C49" s="15" t="inlineStr"/>
      <c r="D49" s="15" t="n"/>
      <c r="E49" s="14" t="n"/>
    </row>
    <row r="50">
      <c r="A50" s="23" t="n">
        <v>42</v>
      </c>
      <c r="B50" s="14" t="n"/>
      <c r="C50" s="15" t="inlineStr"/>
      <c r="D50" s="15" t="n"/>
      <c r="E50" s="14" t="n"/>
    </row>
    <row r="51">
      <c r="A51" s="23" t="n">
        <v>43</v>
      </c>
      <c r="B51" s="14" t="n"/>
      <c r="C51" s="15" t="inlineStr"/>
      <c r="D51" s="15" t="n"/>
      <c r="E51" s="14" t="n"/>
    </row>
    <row r="52">
      <c r="A52" s="23" t="n">
        <v>44</v>
      </c>
      <c r="B52" s="14" t="n"/>
      <c r="C52" s="15" t="inlineStr"/>
      <c r="D52" s="15" t="n"/>
      <c r="E52" s="14" t="n"/>
    </row>
    <row r="53">
      <c r="A53" s="23" t="n">
        <v>45</v>
      </c>
      <c r="B53" s="14" t="n"/>
      <c r="C53" s="15" t="inlineStr"/>
      <c r="D53" s="15" t="n"/>
      <c r="E53" s="14" t="n"/>
    </row>
    <row r="54">
      <c r="A54" s="23" t="n">
        <v>46</v>
      </c>
      <c r="B54" s="14" t="n"/>
      <c r="C54" s="15" t="inlineStr"/>
      <c r="D54" s="15" t="n"/>
      <c r="E54" s="14" t="n"/>
    </row>
    <row r="55">
      <c r="A55" s="23" t="n">
        <v>47</v>
      </c>
      <c r="B55" s="14" t="n"/>
      <c r="C55" s="15" t="inlineStr"/>
      <c r="D55" s="15" t="n"/>
      <c r="E55" s="14" t="n"/>
    </row>
    <row r="56">
      <c r="A56" s="23" t="n">
        <v>48</v>
      </c>
      <c r="B56" s="14" t="n"/>
      <c r="C56" s="15" t="inlineStr"/>
      <c r="D56" s="15" t="n"/>
      <c r="E56" s="14" t="n"/>
    </row>
    <row r="57">
      <c r="A57" s="23" t="n">
        <v>49</v>
      </c>
      <c r="B57" s="14" t="n"/>
      <c r="C57" s="15" t="inlineStr"/>
      <c r="D57" s="15" t="n"/>
      <c r="E57" s="14" t="n"/>
    </row>
    <row r="58">
      <c r="A58" s="23" t="n">
        <v>50</v>
      </c>
      <c r="B58" s="14" t="n"/>
      <c r="C58" s="15" t="inlineStr"/>
      <c r="D58" s="15" t="n"/>
      <c r="E58" s="14" t="n"/>
    </row>
  </sheetData>
  <mergeCells count="4">
    <mergeCell ref="A2:E2"/>
    <mergeCell ref="A1:E1"/>
    <mergeCell ref="A7:E7"/>
    <mergeCell ref="A5:E5"/>
  </mergeCells>
  <conditionalFormatting sqref="A4:E4">
    <cfRule type="expression" priority="1" dxfId="0">
      <formula>$E$4&lt;0</formula>
    </cfRule>
  </conditionalFormatting>
  <pageMargins left="0.75" right="0.75" top="1" bottom="1" header="0.5" footer="0.5"/>
</worksheet>
</file>

<file path=xl/worksheets/sheet4.xml><?xml version="1.0" encoding="utf-8"?>
<worksheet xmlns="http://schemas.openxmlformats.org/spreadsheetml/2006/main">
  <sheetPr>
    <tabColor rgb="006B2E2E"/>
    <outlinePr summaryBelow="1" summaryRight="1"/>
    <pageSetUpPr/>
  </sheetPr>
  <dimension ref="A1:J69"/>
  <sheetViews>
    <sheetView workbookViewId="0">
      <selection activeCell="A1" sqref="A1"/>
    </sheetView>
  </sheetViews>
  <sheetFormatPr baseColWidth="8" defaultRowHeight="15"/>
  <cols>
    <col width="22" customWidth="1" min="1" max="1"/>
    <col width="14" customWidth="1" min="2" max="2"/>
    <col width="16" customWidth="1" min="3" max="3"/>
    <col width="18" customWidth="1" min="4" max="4"/>
    <col width="14" customWidth="1" min="5" max="5"/>
    <col width="14" customWidth="1" min="6" max="6"/>
    <col width="14" customWidth="1" min="7" max="7"/>
    <col width="14" customWidth="1" min="8" max="8"/>
    <col width="50" customWidth="1" min="9" max="9"/>
    <col width="8" customWidth="1" min="10" max="10"/>
  </cols>
  <sheetData>
    <row r="1" ht="32" customHeight="1">
      <c r="A1" s="1" t="inlineStr">
        <is>
          <t>Steel &amp; Sorcery</t>
        </is>
      </c>
    </row>
    <row r="2" ht="18" customHeight="1">
      <c r="A2" s="2" t="inlineStr">
        <is>
          <t xml:space="preserve">  Steel is honest. Magic is rented. Both run out.</t>
        </is>
      </c>
    </row>
    <row r="3" ht="22" customHeight="1">
      <c r="A3" s="7" t="inlineStr">
        <is>
          <t>Weapons &amp; What They Cut</t>
        </is>
      </c>
    </row>
    <row r="4">
      <c r="A4" s="17" t="inlineStr">
        <is>
          <t>Name</t>
        </is>
      </c>
      <c r="B4" s="17" t="inlineStr">
        <is>
          <t>Ability</t>
        </is>
      </c>
      <c r="C4" s="17" t="inlineStr">
        <is>
          <t>Prof?</t>
        </is>
      </c>
      <c r="D4" s="17" t="inlineStr">
        <is>
          <t>Attack Bonus</t>
        </is>
      </c>
      <c r="E4" s="17" t="inlineStr">
        <is>
          <t>Damage</t>
        </is>
      </c>
      <c r="F4" s="17" t="inlineStr">
        <is>
          <t>Range</t>
        </is>
      </c>
      <c r="G4" s="17" t="inlineStr">
        <is>
          <t>Type</t>
        </is>
      </c>
      <c r="H4" s="17" t="inlineStr">
        <is>
          <t>Ammo / Uses</t>
        </is>
      </c>
      <c r="I4" s="17" t="inlineStr">
        <is>
          <t>Notes</t>
        </is>
      </c>
    </row>
    <row r="5">
      <c r="A5" s="14" t="n"/>
      <c r="B5" s="14" t="n"/>
      <c r="C5" s="14" t="n"/>
      <c r="D5" s="14" t="n"/>
      <c r="E5" s="14" t="n"/>
      <c r="F5" s="14" t="n"/>
      <c r="G5" s="14" t="n"/>
      <c r="H5" s="14" t="n"/>
      <c r="I5" s="14" t="n"/>
    </row>
    <row r="6">
      <c r="A6" s="14" t="n"/>
      <c r="B6" s="14" t="n"/>
      <c r="C6" s="14" t="n"/>
      <c r="D6" s="14" t="n"/>
      <c r="E6" s="14" t="n"/>
      <c r="F6" s="14" t="n"/>
      <c r="G6" s="14" t="n"/>
      <c r="H6" s="14" t="n"/>
      <c r="I6" s="14" t="n"/>
    </row>
    <row r="7">
      <c r="A7" s="14" t="n"/>
      <c r="B7" s="14" t="n"/>
      <c r="C7" s="14" t="n"/>
      <c r="D7" s="14" t="n"/>
      <c r="E7" s="14" t="n"/>
      <c r="F7" s="14" t="n"/>
      <c r="G7" s="14" t="n"/>
      <c r="H7" s="14" t="n"/>
      <c r="I7" s="14" t="n"/>
    </row>
    <row r="8">
      <c r="A8" s="14" t="n"/>
      <c r="B8" s="14" t="n"/>
      <c r="C8" s="14" t="n"/>
      <c r="D8" s="14" t="n"/>
      <c r="E8" s="14" t="n"/>
      <c r="F8" s="14" t="n"/>
      <c r="G8" s="14" t="n"/>
      <c r="H8" s="14" t="n"/>
      <c r="I8" s="14" t="n"/>
    </row>
    <row r="9">
      <c r="A9" s="14" t="n"/>
      <c r="B9" s="14" t="n"/>
      <c r="C9" s="14" t="n"/>
      <c r="D9" s="14" t="n"/>
      <c r="E9" s="14" t="n"/>
      <c r="F9" s="14" t="n"/>
      <c r="G9" s="14" t="n"/>
      <c r="H9" s="14" t="n"/>
      <c r="I9" s="14" t="n"/>
    </row>
    <row r="10">
      <c r="A10" s="14" t="n"/>
      <c r="B10" s="14" t="n"/>
      <c r="C10" s="14" t="n"/>
      <c r="D10" s="14" t="n"/>
      <c r="E10" s="14" t="n"/>
      <c r="F10" s="14" t="n"/>
      <c r="G10" s="14" t="n"/>
      <c r="H10" s="14" t="n"/>
      <c r="I10" s="14" t="n"/>
    </row>
    <row r="11">
      <c r="A11" s="14" t="n"/>
      <c r="B11" s="14" t="n"/>
      <c r="C11" s="14" t="n"/>
      <c r="D11" s="14" t="n"/>
      <c r="E11" s="14" t="n"/>
      <c r="F11" s="14" t="n"/>
      <c r="G11" s="14" t="n"/>
      <c r="H11" s="14" t="n"/>
      <c r="I11" s="14" t="n"/>
    </row>
    <row r="12">
      <c r="A12" s="14" t="n"/>
      <c r="B12" s="14" t="n"/>
      <c r="C12" s="14" t="n"/>
      <c r="D12" s="14" t="n"/>
      <c r="E12" s="14" t="n"/>
      <c r="F12" s="14" t="n"/>
      <c r="G12" s="14" t="n"/>
      <c r="H12" s="14" t="n"/>
      <c r="I12" s="14" t="n"/>
    </row>
    <row r="13">
      <c r="A13" s="14" t="n"/>
      <c r="B13" s="14" t="n"/>
      <c r="C13" s="14" t="n"/>
      <c r="D13" s="14" t="n"/>
      <c r="E13" s="14" t="n"/>
      <c r="F13" s="14" t="n"/>
      <c r="G13" s="14" t="n"/>
      <c r="H13" s="14" t="n"/>
      <c r="I13" s="14" t="n"/>
    </row>
    <row r="14">
      <c r="A14" s="14" t="n"/>
      <c r="B14" s="14" t="n"/>
      <c r="C14" s="14" t="n"/>
      <c r="D14" s="14" t="n"/>
      <c r="E14" s="14" t="n"/>
      <c r="F14" s="14" t="n"/>
      <c r="G14" s="14" t="n"/>
      <c r="H14" s="14" t="n"/>
      <c r="I14" s="14" t="n"/>
    </row>
    <row r="17" ht="22" customHeight="1">
      <c r="A17" s="7" t="inlineStr">
        <is>
          <t>Spellcraft — The Rented Power</t>
        </is>
      </c>
    </row>
    <row r="18">
      <c r="A18" s="17" t="inlineStr">
        <is>
          <t>Spellcasting Class</t>
        </is>
      </c>
      <c r="B18" s="17" t="inlineStr">
        <is>
          <t>Spell Ability</t>
        </is>
      </c>
      <c r="C18" s="17" t="inlineStr">
        <is>
          <t>Spell Save DC</t>
        </is>
      </c>
      <c r="D18" s="17" t="inlineStr">
        <is>
          <t>Spell Attack Bonus</t>
        </is>
      </c>
      <c r="E18" s="17" t="inlineStr">
        <is>
          <t>Ritual?</t>
        </is>
      </c>
      <c r="F18" s="17" t="inlineStr">
        <is>
          <t>Concentration?</t>
        </is>
      </c>
      <c r="G18" s="17" t="inlineStr">
        <is>
          <t>Notes</t>
        </is>
      </c>
    </row>
    <row r="19">
      <c r="A19" s="14" t="n"/>
      <c r="B19" s="15" t="n"/>
      <c r="C19" s="15" t="n"/>
      <c r="D19" s="15" t="n"/>
      <c r="E19" s="15" t="n"/>
      <c r="F19" s="15" t="n"/>
      <c r="G19" s="14" t="n"/>
      <c r="H19" s="21" t="n"/>
      <c r="I19" s="22" t="n"/>
    </row>
    <row r="20" ht="30" customHeight="1">
      <c r="A20" s="19" t="inlineStr">
        <is>
          <t>Spell Save DC = 8 + Proficiency Bonus + Spellcasting Ability modifier.  Spell Attack Bonus = Proficiency Bonus + Spellcasting Ability modifier.</t>
        </is>
      </c>
    </row>
    <row r="22" ht="22" customHeight="1">
      <c r="A22" s="7" t="inlineStr">
        <is>
          <t>Spell Slots — How Much Magic Is Left in You</t>
        </is>
      </c>
    </row>
    <row r="23">
      <c r="A23" s="17" t="inlineStr">
        <is>
          <t>Level</t>
        </is>
      </c>
      <c r="B23" s="17" t="inlineStr">
        <is>
          <t>1st</t>
        </is>
      </c>
      <c r="C23" s="17" t="inlineStr">
        <is>
          <t>2nd</t>
        </is>
      </c>
      <c r="D23" s="17" t="inlineStr">
        <is>
          <t>3rd</t>
        </is>
      </c>
      <c r="E23" s="17" t="inlineStr">
        <is>
          <t>4th</t>
        </is>
      </c>
      <c r="F23" s="17" t="inlineStr">
        <is>
          <t>5th</t>
        </is>
      </c>
      <c r="G23" s="17" t="inlineStr">
        <is>
          <t>6th</t>
        </is>
      </c>
      <c r="H23" s="17" t="inlineStr">
        <is>
          <t>7th</t>
        </is>
      </c>
      <c r="I23" s="17" t="inlineStr">
        <is>
          <t>8th</t>
        </is>
      </c>
      <c r="J23" s="17" t="inlineStr">
        <is>
          <t>9th</t>
        </is>
      </c>
    </row>
    <row r="24">
      <c r="A24" s="5" t="inlineStr">
        <is>
          <t>Total</t>
        </is>
      </c>
      <c r="B24" s="15" t="n">
        <v>0</v>
      </c>
      <c r="C24" s="15" t="n">
        <v>0</v>
      </c>
      <c r="D24" s="15" t="n">
        <v>0</v>
      </c>
      <c r="E24" s="15" t="n">
        <v>0</v>
      </c>
      <c r="F24" s="15" t="n">
        <v>0</v>
      </c>
      <c r="G24" s="15" t="n">
        <v>0</v>
      </c>
      <c r="H24" s="15" t="n">
        <v>0</v>
      </c>
      <c r="I24" s="15" t="n">
        <v>0</v>
      </c>
      <c r="J24" s="15" t="n">
        <v>0</v>
      </c>
    </row>
    <row r="25">
      <c r="A25" s="5" t="inlineStr">
        <is>
          <t>Used</t>
        </is>
      </c>
      <c r="B25" s="15" t="n">
        <v>0</v>
      </c>
      <c r="C25" s="15" t="n">
        <v>0</v>
      </c>
      <c r="D25" s="15" t="n">
        <v>0</v>
      </c>
      <c r="E25" s="15" t="n">
        <v>0</v>
      </c>
      <c r="F25" s="15" t="n">
        <v>0</v>
      </c>
      <c r="G25" s="15" t="n">
        <v>0</v>
      </c>
      <c r="H25" s="15" t="n">
        <v>0</v>
      </c>
      <c r="I25" s="15" t="n">
        <v>0</v>
      </c>
      <c r="J25" s="15" t="n">
        <v>0</v>
      </c>
    </row>
    <row r="26">
      <c r="A26" s="5" t="inlineStr">
        <is>
          <t>Remaining</t>
        </is>
      </c>
      <c r="B26" s="16">
        <f>B24-B25</f>
        <v/>
      </c>
      <c r="C26" s="16">
        <f>C24-C25</f>
        <v/>
      </c>
      <c r="D26" s="16">
        <f>D24-D25</f>
        <v/>
      </c>
      <c r="E26" s="16">
        <f>E24-E25</f>
        <v/>
      </c>
      <c r="F26" s="16">
        <f>F24-F25</f>
        <v/>
      </c>
      <c r="G26" s="16">
        <f>G24-G25</f>
        <v/>
      </c>
      <c r="H26" s="16">
        <f>H24-H25</f>
        <v/>
      </c>
      <c r="I26" s="16">
        <f>I24-I25</f>
        <v/>
      </c>
      <c r="J26" s="16">
        <f>J24-J25</f>
        <v/>
      </c>
    </row>
    <row r="28" ht="22" customHeight="1">
      <c r="A28" s="7" t="inlineStr">
        <is>
          <t>Spells Known &amp; Prepared</t>
        </is>
      </c>
    </row>
    <row r="29">
      <c r="A29" s="17" t="inlineStr">
        <is>
          <t>Spell</t>
        </is>
      </c>
      <c r="B29" s="17" t="inlineStr">
        <is>
          <t>Level</t>
        </is>
      </c>
      <c r="C29" s="17" t="inlineStr">
        <is>
          <t>School</t>
        </is>
      </c>
      <c r="D29" s="17" t="inlineStr">
        <is>
          <t>Cast Time</t>
        </is>
      </c>
      <c r="E29" s="17" t="inlineStr">
        <is>
          <t>Range</t>
        </is>
      </c>
      <c r="F29" s="17" t="inlineStr">
        <is>
          <t>Components</t>
        </is>
      </c>
      <c r="G29" s="17" t="inlineStr">
        <is>
          <t>Duration</t>
        </is>
      </c>
      <c r="H29" s="17" t="inlineStr">
        <is>
          <t>Prepared?</t>
        </is>
      </c>
      <c r="I29" s="17" t="inlineStr">
        <is>
          <t>Notes</t>
        </is>
      </c>
    </row>
    <row r="30">
      <c r="A30" s="14" t="n"/>
      <c r="B30" s="14" t="n"/>
      <c r="C30" s="14" t="n"/>
      <c r="D30" s="14" t="n"/>
      <c r="E30" s="14" t="n"/>
      <c r="F30" s="14" t="n"/>
      <c r="G30" s="14" t="n"/>
      <c r="H30" s="14" t="n"/>
      <c r="I30" s="14" t="n"/>
    </row>
    <row r="31">
      <c r="A31" s="14" t="n"/>
      <c r="B31" s="14" t="n"/>
      <c r="C31" s="14" t="n"/>
      <c r="D31" s="14" t="n"/>
      <c r="E31" s="14" t="n"/>
      <c r="F31" s="14" t="n"/>
      <c r="G31" s="14" t="n"/>
      <c r="H31" s="14" t="n"/>
      <c r="I31" s="14" t="n"/>
    </row>
    <row r="32">
      <c r="A32" s="14" t="n"/>
      <c r="B32" s="14" t="n"/>
      <c r="C32" s="14" t="n"/>
      <c r="D32" s="14" t="n"/>
      <c r="E32" s="14" t="n"/>
      <c r="F32" s="14" t="n"/>
      <c r="G32" s="14" t="n"/>
      <c r="H32" s="14" t="n"/>
      <c r="I32" s="14" t="n"/>
    </row>
    <row r="33">
      <c r="A33" s="14" t="n"/>
      <c r="B33" s="14" t="n"/>
      <c r="C33" s="14" t="n"/>
      <c r="D33" s="14" t="n"/>
      <c r="E33" s="14" t="n"/>
      <c r="F33" s="14" t="n"/>
      <c r="G33" s="14" t="n"/>
      <c r="H33" s="14" t="n"/>
      <c r="I33" s="14" t="n"/>
    </row>
    <row r="34">
      <c r="A34" s="14" t="n"/>
      <c r="B34" s="14" t="n"/>
      <c r="C34" s="14" t="n"/>
      <c r="D34" s="14" t="n"/>
      <c r="E34" s="14" t="n"/>
      <c r="F34" s="14" t="n"/>
      <c r="G34" s="14" t="n"/>
      <c r="H34" s="14" t="n"/>
      <c r="I34" s="14" t="n"/>
    </row>
    <row r="35">
      <c r="A35" s="14" t="n"/>
      <c r="B35" s="14" t="n"/>
      <c r="C35" s="14" t="n"/>
      <c r="D35" s="14" t="n"/>
      <c r="E35" s="14" t="n"/>
      <c r="F35" s="14" t="n"/>
      <c r="G35" s="14" t="n"/>
      <c r="H35" s="14" t="n"/>
      <c r="I35" s="14" t="n"/>
    </row>
    <row r="36">
      <c r="A36" s="14" t="n"/>
      <c r="B36" s="14" t="n"/>
      <c r="C36" s="14" t="n"/>
      <c r="D36" s="14" t="n"/>
      <c r="E36" s="14" t="n"/>
      <c r="F36" s="14" t="n"/>
      <c r="G36" s="14" t="n"/>
      <c r="H36" s="14" t="n"/>
      <c r="I36" s="14" t="n"/>
    </row>
    <row r="37">
      <c r="A37" s="14" t="n"/>
      <c r="B37" s="14" t="n"/>
      <c r="C37" s="14" t="n"/>
      <c r="D37" s="14" t="n"/>
      <c r="E37" s="14" t="n"/>
      <c r="F37" s="14" t="n"/>
      <c r="G37" s="14" t="n"/>
      <c r="H37" s="14" t="n"/>
      <c r="I37" s="14" t="n"/>
    </row>
    <row r="38">
      <c r="A38" s="14" t="n"/>
      <c r="B38" s="14" t="n"/>
      <c r="C38" s="14" t="n"/>
      <c r="D38" s="14" t="n"/>
      <c r="E38" s="14" t="n"/>
      <c r="F38" s="14" t="n"/>
      <c r="G38" s="14" t="n"/>
      <c r="H38" s="14" t="n"/>
      <c r="I38" s="14" t="n"/>
    </row>
    <row r="39">
      <c r="A39" s="14" t="n"/>
      <c r="B39" s="14" t="n"/>
      <c r="C39" s="14" t="n"/>
      <c r="D39" s="14" t="n"/>
      <c r="E39" s="14" t="n"/>
      <c r="F39" s="14" t="n"/>
      <c r="G39" s="14" t="n"/>
      <c r="H39" s="14" t="n"/>
      <c r="I39" s="14" t="n"/>
    </row>
    <row r="40">
      <c r="A40" s="14" t="n"/>
      <c r="B40" s="14" t="n"/>
      <c r="C40" s="14" t="n"/>
      <c r="D40" s="14" t="n"/>
      <c r="E40" s="14" t="n"/>
      <c r="F40" s="14" t="n"/>
      <c r="G40" s="14" t="n"/>
      <c r="H40" s="14" t="n"/>
      <c r="I40" s="14" t="n"/>
    </row>
    <row r="41">
      <c r="A41" s="14" t="n"/>
      <c r="B41" s="14" t="n"/>
      <c r="C41" s="14" t="n"/>
      <c r="D41" s="14" t="n"/>
      <c r="E41" s="14" t="n"/>
      <c r="F41" s="14" t="n"/>
      <c r="G41" s="14" t="n"/>
      <c r="H41" s="14" t="n"/>
      <c r="I41" s="14" t="n"/>
    </row>
    <row r="42">
      <c r="A42" s="14" t="n"/>
      <c r="B42" s="14" t="n"/>
      <c r="C42" s="14" t="n"/>
      <c r="D42" s="14" t="n"/>
      <c r="E42" s="14" t="n"/>
      <c r="F42" s="14" t="n"/>
      <c r="G42" s="14" t="n"/>
      <c r="H42" s="14" t="n"/>
      <c r="I42" s="14" t="n"/>
    </row>
    <row r="43">
      <c r="A43" s="14" t="n"/>
      <c r="B43" s="14" t="n"/>
      <c r="C43" s="14" t="n"/>
      <c r="D43" s="14" t="n"/>
      <c r="E43" s="14" t="n"/>
      <c r="F43" s="14" t="n"/>
      <c r="G43" s="14" t="n"/>
      <c r="H43" s="14" t="n"/>
      <c r="I43" s="14" t="n"/>
    </row>
    <row r="44">
      <c r="A44" s="14" t="n"/>
      <c r="B44" s="14" t="n"/>
      <c r="C44" s="14" t="n"/>
      <c r="D44" s="14" t="n"/>
      <c r="E44" s="14" t="n"/>
      <c r="F44" s="14" t="n"/>
      <c r="G44" s="14" t="n"/>
      <c r="H44" s="14" t="n"/>
      <c r="I44" s="14" t="n"/>
    </row>
    <row r="45">
      <c r="A45" s="14" t="n"/>
      <c r="B45" s="14" t="n"/>
      <c r="C45" s="14" t="n"/>
      <c r="D45" s="14" t="n"/>
      <c r="E45" s="14" t="n"/>
      <c r="F45" s="14" t="n"/>
      <c r="G45" s="14" t="n"/>
      <c r="H45" s="14" t="n"/>
      <c r="I45" s="14" t="n"/>
    </row>
    <row r="46">
      <c r="A46" s="14" t="n"/>
      <c r="B46" s="14" t="n"/>
      <c r="C46" s="14" t="n"/>
      <c r="D46" s="14" t="n"/>
      <c r="E46" s="14" t="n"/>
      <c r="F46" s="14" t="n"/>
      <c r="G46" s="14" t="n"/>
      <c r="H46" s="14" t="n"/>
      <c r="I46" s="14" t="n"/>
    </row>
    <row r="47">
      <c r="A47" s="14" t="n"/>
      <c r="B47" s="14" t="n"/>
      <c r="C47" s="14" t="n"/>
      <c r="D47" s="14" t="n"/>
      <c r="E47" s="14" t="n"/>
      <c r="F47" s="14" t="n"/>
      <c r="G47" s="14" t="n"/>
      <c r="H47" s="14" t="n"/>
      <c r="I47" s="14" t="n"/>
    </row>
    <row r="48">
      <c r="A48" s="14" t="n"/>
      <c r="B48" s="14" t="n"/>
      <c r="C48" s="14" t="n"/>
      <c r="D48" s="14" t="n"/>
      <c r="E48" s="14" t="n"/>
      <c r="F48" s="14" t="n"/>
      <c r="G48" s="14" t="n"/>
      <c r="H48" s="14" t="n"/>
      <c r="I48" s="14" t="n"/>
    </row>
    <row r="49">
      <c r="A49" s="14" t="n"/>
      <c r="B49" s="14" t="n"/>
      <c r="C49" s="14" t="n"/>
      <c r="D49" s="14" t="n"/>
      <c r="E49" s="14" t="n"/>
      <c r="F49" s="14" t="n"/>
      <c r="G49" s="14" t="n"/>
      <c r="H49" s="14" t="n"/>
      <c r="I49" s="14" t="n"/>
    </row>
    <row r="50">
      <c r="A50" s="14" t="n"/>
      <c r="B50" s="14" t="n"/>
      <c r="C50" s="14" t="n"/>
      <c r="D50" s="14" t="n"/>
      <c r="E50" s="14" t="n"/>
      <c r="F50" s="14" t="n"/>
      <c r="G50" s="14" t="n"/>
      <c r="H50" s="14" t="n"/>
      <c r="I50" s="14" t="n"/>
    </row>
    <row r="51">
      <c r="A51" s="14" t="n"/>
      <c r="B51" s="14" t="n"/>
      <c r="C51" s="14" t="n"/>
      <c r="D51" s="14" t="n"/>
      <c r="E51" s="14" t="n"/>
      <c r="F51" s="14" t="n"/>
      <c r="G51" s="14" t="n"/>
      <c r="H51" s="14" t="n"/>
      <c r="I51" s="14" t="n"/>
    </row>
    <row r="52">
      <c r="A52" s="14" t="n"/>
      <c r="B52" s="14" t="n"/>
      <c r="C52" s="14" t="n"/>
      <c r="D52" s="14" t="n"/>
      <c r="E52" s="14" t="n"/>
      <c r="F52" s="14" t="n"/>
      <c r="G52" s="14" t="n"/>
      <c r="H52" s="14" t="n"/>
      <c r="I52" s="14" t="n"/>
    </row>
    <row r="53">
      <c r="A53" s="14" t="n"/>
      <c r="B53" s="14" t="n"/>
      <c r="C53" s="14" t="n"/>
      <c r="D53" s="14" t="n"/>
      <c r="E53" s="14" t="n"/>
      <c r="F53" s="14" t="n"/>
      <c r="G53" s="14" t="n"/>
      <c r="H53" s="14" t="n"/>
      <c r="I53" s="14" t="n"/>
    </row>
    <row r="54">
      <c r="A54" s="14" t="n"/>
      <c r="B54" s="14" t="n"/>
      <c r="C54" s="14" t="n"/>
      <c r="D54" s="14" t="n"/>
      <c r="E54" s="14" t="n"/>
      <c r="F54" s="14" t="n"/>
      <c r="G54" s="14" t="n"/>
      <c r="H54" s="14" t="n"/>
      <c r="I54" s="14" t="n"/>
    </row>
    <row r="55">
      <c r="A55" s="14" t="n"/>
      <c r="B55" s="14" t="n"/>
      <c r="C55" s="14" t="n"/>
      <c r="D55" s="14" t="n"/>
      <c r="E55" s="14" t="n"/>
      <c r="F55" s="14" t="n"/>
      <c r="G55" s="14" t="n"/>
      <c r="H55" s="14" t="n"/>
      <c r="I55" s="14" t="n"/>
    </row>
    <row r="56">
      <c r="A56" s="14" t="n"/>
      <c r="B56" s="14" t="n"/>
      <c r="C56" s="14" t="n"/>
      <c r="D56" s="14" t="n"/>
      <c r="E56" s="14" t="n"/>
      <c r="F56" s="14" t="n"/>
      <c r="G56" s="14" t="n"/>
      <c r="H56" s="14" t="n"/>
      <c r="I56" s="14" t="n"/>
    </row>
    <row r="57">
      <c r="A57" s="14" t="n"/>
      <c r="B57" s="14" t="n"/>
      <c r="C57" s="14" t="n"/>
      <c r="D57" s="14" t="n"/>
      <c r="E57" s="14" t="n"/>
      <c r="F57" s="14" t="n"/>
      <c r="G57" s="14" t="n"/>
      <c r="H57" s="14" t="n"/>
      <c r="I57" s="14" t="n"/>
    </row>
    <row r="58">
      <c r="A58" s="14" t="n"/>
      <c r="B58" s="14" t="n"/>
      <c r="C58" s="14" t="n"/>
      <c r="D58" s="14" t="n"/>
      <c r="E58" s="14" t="n"/>
      <c r="F58" s="14" t="n"/>
      <c r="G58" s="14" t="n"/>
      <c r="H58" s="14" t="n"/>
      <c r="I58" s="14" t="n"/>
    </row>
    <row r="59">
      <c r="A59" s="14" t="n"/>
      <c r="B59" s="14" t="n"/>
      <c r="C59" s="14" t="n"/>
      <c r="D59" s="14" t="n"/>
      <c r="E59" s="14" t="n"/>
      <c r="F59" s="14" t="n"/>
      <c r="G59" s="14" t="n"/>
      <c r="H59" s="14" t="n"/>
      <c r="I59" s="14" t="n"/>
    </row>
    <row r="60">
      <c r="A60" s="14" t="n"/>
      <c r="B60" s="14" t="n"/>
      <c r="C60" s="14" t="n"/>
      <c r="D60" s="14" t="n"/>
      <c r="E60" s="14" t="n"/>
      <c r="F60" s="14" t="n"/>
      <c r="G60" s="14" t="n"/>
      <c r="H60" s="14" t="n"/>
      <c r="I60" s="14" t="n"/>
    </row>
    <row r="61">
      <c r="A61" s="14" t="n"/>
      <c r="B61" s="14" t="n"/>
      <c r="C61" s="14" t="n"/>
      <c r="D61" s="14" t="n"/>
      <c r="E61" s="14" t="n"/>
      <c r="F61" s="14" t="n"/>
      <c r="G61" s="14" t="n"/>
      <c r="H61" s="14" t="n"/>
      <c r="I61" s="14" t="n"/>
    </row>
    <row r="62">
      <c r="A62" s="14" t="n"/>
      <c r="B62" s="14" t="n"/>
      <c r="C62" s="14" t="n"/>
      <c r="D62" s="14" t="n"/>
      <c r="E62" s="14" t="n"/>
      <c r="F62" s="14" t="n"/>
      <c r="G62" s="14" t="n"/>
      <c r="H62" s="14" t="n"/>
      <c r="I62" s="14" t="n"/>
    </row>
    <row r="63">
      <c r="A63" s="14" t="n"/>
      <c r="B63" s="14" t="n"/>
      <c r="C63" s="14" t="n"/>
      <c r="D63" s="14" t="n"/>
      <c r="E63" s="14" t="n"/>
      <c r="F63" s="14" t="n"/>
      <c r="G63" s="14" t="n"/>
      <c r="H63" s="14" t="n"/>
      <c r="I63" s="14" t="n"/>
    </row>
    <row r="64">
      <c r="A64" s="14" t="n"/>
      <c r="B64" s="14" t="n"/>
      <c r="C64" s="14" t="n"/>
      <c r="D64" s="14" t="n"/>
      <c r="E64" s="14" t="n"/>
      <c r="F64" s="14" t="n"/>
      <c r="G64" s="14" t="n"/>
      <c r="H64" s="14" t="n"/>
      <c r="I64" s="14" t="n"/>
    </row>
    <row r="65">
      <c r="A65" s="14" t="n"/>
      <c r="B65" s="14" t="n"/>
      <c r="C65" s="14" t="n"/>
      <c r="D65" s="14" t="n"/>
      <c r="E65" s="14" t="n"/>
      <c r="F65" s="14" t="n"/>
      <c r="G65" s="14" t="n"/>
      <c r="H65" s="14" t="n"/>
      <c r="I65" s="14" t="n"/>
    </row>
    <row r="66">
      <c r="A66" s="14" t="n"/>
      <c r="B66" s="14" t="n"/>
      <c r="C66" s="14" t="n"/>
      <c r="D66" s="14" t="n"/>
      <c r="E66" s="14" t="n"/>
      <c r="F66" s="14" t="n"/>
      <c r="G66" s="14" t="n"/>
      <c r="H66" s="14" t="n"/>
      <c r="I66" s="14" t="n"/>
    </row>
    <row r="67">
      <c r="A67" s="14" t="n"/>
      <c r="B67" s="14" t="n"/>
      <c r="C67" s="14" t="n"/>
      <c r="D67" s="14" t="n"/>
      <c r="E67" s="14" t="n"/>
      <c r="F67" s="14" t="n"/>
      <c r="G67" s="14" t="n"/>
      <c r="H67" s="14" t="n"/>
      <c r="I67" s="14" t="n"/>
    </row>
    <row r="68">
      <c r="A68" s="14" t="n"/>
      <c r="B68" s="14" t="n"/>
      <c r="C68" s="14" t="n"/>
      <c r="D68" s="14" t="n"/>
      <c r="E68" s="14" t="n"/>
      <c r="F68" s="14" t="n"/>
      <c r="G68" s="14" t="n"/>
      <c r="H68" s="14" t="n"/>
      <c r="I68" s="14" t="n"/>
    </row>
    <row r="69">
      <c r="A69" s="14" t="n"/>
      <c r="B69" s="14" t="n"/>
      <c r="C69" s="14" t="n"/>
      <c r="D69" s="14" t="n"/>
      <c r="E69" s="14" t="n"/>
      <c r="F69" s="14" t="n"/>
      <c r="G69" s="14" t="n"/>
      <c r="H69" s="14" t="n"/>
      <c r="I69" s="14" t="n"/>
    </row>
  </sheetData>
  <mergeCells count="8">
    <mergeCell ref="A2:I2"/>
    <mergeCell ref="G19:I19"/>
    <mergeCell ref="A28:I28"/>
    <mergeCell ref="A1:I1"/>
    <mergeCell ref="A17:I17"/>
    <mergeCell ref="A3:I3"/>
    <mergeCell ref="A22:I22"/>
    <mergeCell ref="A20:I20"/>
  </mergeCells>
  <dataValidations count="1">
    <dataValidation sqref="C5 C6 C7 C8 C9 C10 C11 C12 C13 C14 E19 F19 H30 H31 H32 H33 H34 H35 H36 H37 H38 H39 H40 H41 H42 H43 H44 H45 H46 H47 H48 H49 H50 H51 H52 H53 H54 H55 H56 H57 H58 H59 H60 H61 H62 H63 H64 H65 H66 H67 H68 H69" showDropDown="0" showInputMessage="0" showErrorMessage="0" allowBlank="1" type="list">
      <formula1>"✓"</formula1>
    </dataValidation>
  </dataValidations>
  <pageMargins left="0.75" right="0.75" top="1" bottom="1" header="0.5" footer="0.5"/>
</worksheet>
</file>

<file path=xl/worksheets/sheet5.xml><?xml version="1.0" encoding="utf-8"?>
<worksheet xmlns="http://schemas.openxmlformats.org/spreadsheetml/2006/main">
  <sheetPr>
    <tabColor rgb="005C2A3F"/>
    <outlinePr summaryBelow="1" summaryRight="1"/>
    <pageSetUpPr/>
  </sheetPr>
  <dimension ref="A1:B56"/>
  <sheetViews>
    <sheetView workbookViewId="0">
      <selection activeCell="A1" sqref="A1"/>
    </sheetView>
  </sheetViews>
  <sheetFormatPr baseColWidth="8" defaultRowHeight="15"/>
  <cols>
    <col width="22" customWidth="1" min="1" max="1"/>
    <col width="70" customWidth="1" min="2" max="2"/>
  </cols>
  <sheetData>
    <row r="1" ht="32" customHeight="1">
      <c r="A1" s="1" t="inlineStr">
        <is>
          <t>Lineage, Tongue &amp; Tale</t>
        </is>
      </c>
    </row>
    <row r="2" ht="18" customHeight="1">
      <c r="A2" s="2" t="inlineStr">
        <is>
          <t xml:space="preserve">  Where you came from is a place no one down here asks about.</t>
        </is>
      </c>
    </row>
    <row r="3" ht="22" customHeight="1">
      <c r="A3" s="7" t="inlineStr">
        <is>
          <t>Class Features</t>
        </is>
      </c>
    </row>
    <row r="4" ht="22" customHeight="1">
      <c r="A4" s="5" t="inlineStr"/>
      <c r="B4" s="14" t="n"/>
    </row>
    <row r="5" ht="22" customHeight="1">
      <c r="A5" s="5" t="inlineStr"/>
      <c r="B5" s="14" t="n"/>
    </row>
    <row r="6" ht="22" customHeight="1">
      <c r="A6" s="5" t="inlineStr"/>
      <c r="B6" s="14" t="n"/>
    </row>
    <row r="7" ht="22" customHeight="1">
      <c r="A7" s="5" t="inlineStr"/>
      <c r="B7" s="14" t="n"/>
    </row>
    <row r="8" ht="22" customHeight="1">
      <c r="A8" s="5" t="inlineStr"/>
      <c r="B8" s="14" t="n"/>
    </row>
    <row r="9" ht="22" customHeight="1">
      <c r="A9" s="5" t="inlineStr"/>
      <c r="B9" s="14" t="n"/>
    </row>
    <row r="10" ht="22" customHeight="1">
      <c r="A10" s="5" t="inlineStr"/>
      <c r="B10" s="14" t="n"/>
    </row>
    <row r="11" ht="22" customHeight="1">
      <c r="A11" s="5" t="inlineStr"/>
      <c r="B11" s="14" t="n"/>
    </row>
    <row r="12" ht="22" customHeight="1">
      <c r="A12" s="7" t="inlineStr">
        <is>
          <t>Racial / Ancestry Features</t>
        </is>
      </c>
    </row>
    <row r="13" ht="22" customHeight="1">
      <c r="A13" s="5" t="inlineStr"/>
      <c r="B13" s="14" t="n"/>
    </row>
    <row r="14" ht="22" customHeight="1">
      <c r="A14" s="5" t="inlineStr"/>
      <c r="B14" s="14" t="n"/>
    </row>
    <row r="15" ht="22" customHeight="1">
      <c r="A15" s="5" t="inlineStr"/>
      <c r="B15" s="14" t="n"/>
    </row>
    <row r="16" ht="22" customHeight="1">
      <c r="A16" s="5" t="inlineStr"/>
      <c r="B16" s="14" t="n"/>
    </row>
    <row r="17" ht="22" customHeight="1">
      <c r="A17" s="5" t="inlineStr"/>
      <c r="B17" s="14" t="n"/>
    </row>
    <row r="18" ht="22" customHeight="1">
      <c r="A18" s="5" t="inlineStr"/>
      <c r="B18" s="14" t="n"/>
    </row>
    <row r="19" ht="22" customHeight="1">
      <c r="A19" s="7" t="inlineStr">
        <is>
          <t>Background Feature</t>
        </is>
      </c>
    </row>
    <row r="20" ht="22" customHeight="1">
      <c r="A20" s="5" t="inlineStr"/>
      <c r="B20" s="14" t="n"/>
    </row>
    <row r="21" ht="22" customHeight="1">
      <c r="A21" s="5" t="inlineStr"/>
      <c r="B21" s="14" t="n"/>
    </row>
    <row r="22" ht="22" customHeight="1">
      <c r="A22" s="7" t="inlineStr">
        <is>
          <t>Feats &amp; Earned Tricks</t>
        </is>
      </c>
    </row>
    <row r="23" ht="22" customHeight="1">
      <c r="A23" s="5" t="inlineStr"/>
      <c r="B23" s="14" t="n"/>
    </row>
    <row r="24" ht="22" customHeight="1">
      <c r="A24" s="5" t="inlineStr"/>
      <c r="B24" s="14" t="n"/>
    </row>
    <row r="25" ht="22" customHeight="1">
      <c r="A25" s="5" t="inlineStr"/>
      <c r="B25" s="14" t="n"/>
    </row>
    <row r="26" ht="22" customHeight="1">
      <c r="A26" s="5" t="inlineStr"/>
      <c r="B26" s="14" t="n"/>
    </row>
    <row r="27" ht="22" customHeight="1">
      <c r="A27" s="7" t="inlineStr">
        <is>
          <t>Tongues You Speak</t>
        </is>
      </c>
    </row>
    <row r="28" ht="22" customHeight="1">
      <c r="A28" s="5" t="inlineStr"/>
      <c r="B28" s="14" t="n"/>
    </row>
    <row r="29" ht="22" customHeight="1">
      <c r="A29" s="5" t="inlineStr"/>
      <c r="B29" s="14" t="n"/>
    </row>
    <row r="30" ht="22" customHeight="1">
      <c r="A30" s="5" t="inlineStr"/>
      <c r="B30" s="14" t="n"/>
    </row>
    <row r="31" ht="22" customHeight="1">
      <c r="A31" s="7" t="inlineStr">
        <is>
          <t>Other Proficiencies (tools, instruments, the disassembling of things)</t>
        </is>
      </c>
    </row>
    <row r="32" ht="22" customHeight="1">
      <c r="A32" s="5" t="inlineStr"/>
      <c r="B32" s="14" t="n"/>
    </row>
    <row r="33" ht="22" customHeight="1">
      <c r="A33" s="5" t="inlineStr"/>
      <c r="B33" s="14" t="n"/>
    </row>
    <row r="34" ht="22" customHeight="1">
      <c r="A34" s="5" t="inlineStr"/>
      <c r="B34" s="14" t="n"/>
    </row>
    <row r="35" ht="22" customHeight="1">
      <c r="A35" s="5" t="inlineStr"/>
      <c r="B35" s="14" t="n"/>
    </row>
    <row r="36" ht="22" customHeight="1">
      <c r="A36" s="7" t="inlineStr">
        <is>
          <t>Allies, Pacts &amp; Contacts</t>
        </is>
      </c>
    </row>
    <row r="37" ht="22" customHeight="1">
      <c r="A37" s="5" t="inlineStr"/>
      <c r="B37" s="14" t="n"/>
    </row>
    <row r="38" ht="22" customHeight="1">
      <c r="A38" s="5" t="inlineStr"/>
      <c r="B38" s="14" t="n"/>
    </row>
    <row r="39" ht="22" customHeight="1">
      <c r="A39" s="5" t="inlineStr"/>
      <c r="B39" s="14" t="n"/>
    </row>
    <row r="40" ht="22" customHeight="1">
      <c r="A40" s="5" t="inlineStr"/>
      <c r="B40" s="14" t="n"/>
    </row>
    <row r="41" ht="22" customHeight="1">
      <c r="A41" s="7" t="inlineStr">
        <is>
          <t>Where You Came From — Backstory</t>
        </is>
      </c>
    </row>
    <row r="42" ht="22" customHeight="1">
      <c r="A42" s="5" t="inlineStr"/>
      <c r="B42" s="14" t="n"/>
    </row>
    <row r="43" ht="22" customHeight="1">
      <c r="A43" s="5" t="inlineStr"/>
      <c r="B43" s="14" t="n"/>
    </row>
    <row r="44" ht="22" customHeight="1">
      <c r="A44" s="5" t="inlineStr"/>
      <c r="B44" s="14" t="n"/>
    </row>
    <row r="45" ht="22" customHeight="1">
      <c r="A45" s="5" t="inlineStr"/>
      <c r="B45" s="14" t="n"/>
    </row>
    <row r="46" ht="22" customHeight="1">
      <c r="A46" s="5" t="inlineStr"/>
      <c r="B46" s="14" t="n"/>
    </row>
    <row r="47" ht="22" customHeight="1">
      <c r="A47" s="5" t="inlineStr"/>
      <c r="B47" s="14" t="n"/>
    </row>
    <row r="48" ht="22" customHeight="1">
      <c r="A48" s="7" t="inlineStr">
        <is>
          <t>Notes From the Dark — Session Log</t>
        </is>
      </c>
    </row>
    <row r="49" ht="22" customHeight="1">
      <c r="A49" s="5" t="inlineStr"/>
      <c r="B49" s="14" t="n"/>
    </row>
    <row r="50" ht="22" customHeight="1">
      <c r="A50" s="5" t="inlineStr"/>
      <c r="B50" s="14" t="n"/>
    </row>
    <row r="51" ht="22" customHeight="1">
      <c r="A51" s="5" t="inlineStr"/>
      <c r="B51" s="14" t="n"/>
    </row>
    <row r="52" ht="22" customHeight="1">
      <c r="A52" s="5" t="inlineStr"/>
      <c r="B52" s="14" t="n"/>
    </row>
    <row r="53" ht="22" customHeight="1">
      <c r="A53" s="5" t="inlineStr"/>
      <c r="B53" s="14" t="n"/>
    </row>
    <row r="54" ht="22" customHeight="1">
      <c r="A54" s="5" t="inlineStr"/>
      <c r="B54" s="14" t="n"/>
    </row>
    <row r="55" ht="22" customHeight="1">
      <c r="A55" s="5" t="inlineStr"/>
      <c r="B55" s="14" t="n"/>
    </row>
    <row r="56" ht="22" customHeight="1">
      <c r="A56" s="5" t="inlineStr"/>
      <c r="B56" s="14" t="n"/>
    </row>
  </sheetData>
  <mergeCells count="11">
    <mergeCell ref="A48:B48"/>
    <mergeCell ref="A2:B2"/>
    <mergeCell ref="A41:B41"/>
    <mergeCell ref="A19:B19"/>
    <mergeCell ref="A36:B36"/>
    <mergeCell ref="A1:B1"/>
    <mergeCell ref="A27:B27"/>
    <mergeCell ref="A31:B31"/>
    <mergeCell ref="A3:B3"/>
    <mergeCell ref="A22:B22"/>
    <mergeCell ref="A12:B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2026-05-14T03:09:25Z</dcterms:created>
  <dcterms:modified xsi:type="dcterms:W3CDTF">2026-05-14T03:09:25Z</dcterms:modified>
</cp:coreProperties>
</file>